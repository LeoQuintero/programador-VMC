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cf898251a53e4db5/JW/Asignaciones Congregación/Ancianos/Super VMC/Programación-VMC/2025/Privilegios Norte/"/>
    </mc:Choice>
  </mc:AlternateContent>
  <xr:revisionPtr revIDLastSave="74" documentId="8_{6038CF54-DE6A-4831-A3EA-CBB0B87C93DE}" xr6:coauthVersionLast="47" xr6:coauthVersionMax="47" xr10:uidLastSave="{5AAE546A-1B47-4D5B-BAF6-53C4EC773B5C}"/>
  <bookViews>
    <workbookView xWindow="-108" yWindow="-108" windowWidth="23256" windowHeight="12456" tabRatio="500" activeTab="5" xr2:uid="{00000000-000D-0000-FFFF-FFFF00000000}"/>
  </bookViews>
  <sheets>
    <sheet name="Listados No tocar" sheetId="1" r:id="rId1"/>
    <sheet name="Hoja1" sheetId="2" state="hidden" r:id="rId2"/>
    <sheet name="LISTADO" sheetId="3" r:id="rId3"/>
    <sheet name="septiembre" sheetId="4" state="hidden" r:id="rId4"/>
    <sheet name="Diciembre" sheetId="5" r:id="rId5"/>
    <sheet name="Enero" sheetId="7" r:id="rId6"/>
  </sheets>
  <definedNames>
    <definedName name="_xlnm._FilterDatabase" localSheetId="1" hidden="1">Hoja1!$B$2:$G$2</definedName>
    <definedName name="ACOMODADORES">'Listados No tocar'!$A$2:$A$37</definedName>
    <definedName name="_xlnm.Print_Area" localSheetId="4">Diciembre!$A$1:$M$4</definedName>
    <definedName name="_xlnm.Print_Area" localSheetId="1">Hoja1!$A$1:$G$29</definedName>
    <definedName name="AUDIO">'Listados No tocar'!$E$2:$E$37</definedName>
    <definedName name="LECTORES_ATALAYA">'Listados No tocar'!$D$2:$D$37</definedName>
    <definedName name="MICRÓFONOS">'Listados No tocar'!$B$2:$B$37</definedName>
    <definedName name="PRESIDENTES">'Listados No tocar'!$C$2:$C$37</definedName>
    <definedName name="VIDEO">'Listados No tocar'!$F$2:$F$37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<sst xmlns="http://schemas.openxmlformats.org/spreadsheetml/2006/main" count="631" uniqueCount="105">
  <si>
    <t>ACOMODADORES</t>
  </si>
  <si>
    <t>MICRÓFONOS</t>
  </si>
  <si>
    <t>PRESIDENTES</t>
  </si>
  <si>
    <t>LECTORES</t>
  </si>
  <si>
    <t>AUDIO</t>
  </si>
  <si>
    <t>VIDEO</t>
  </si>
  <si>
    <t>Esteban Barajas</t>
  </si>
  <si>
    <t>Emiliano Quintero</t>
  </si>
  <si>
    <t>Edwin Quintero</t>
  </si>
  <si>
    <t>Andres Cárdenas</t>
  </si>
  <si>
    <t>James Cabieles</t>
  </si>
  <si>
    <t>Hernando Castro</t>
  </si>
  <si>
    <t>Gustavo Ramirez</t>
  </si>
  <si>
    <t>Cristian Calderon</t>
  </si>
  <si>
    <t>Armando Toasura</t>
  </si>
  <si>
    <t>Daniel Gonzalez</t>
  </si>
  <si>
    <t>Ricardo Morales</t>
  </si>
  <si>
    <t>Orlando Fagua</t>
  </si>
  <si>
    <t>Jimmy Pacheco</t>
  </si>
  <si>
    <t>Duván Torres</t>
  </si>
  <si>
    <t>William Diaz</t>
  </si>
  <si>
    <t>Vicente Castro</t>
  </si>
  <si>
    <t>Jorge Alba</t>
  </si>
  <si>
    <t>Henrry Rodriguez</t>
  </si>
  <si>
    <t>Felipe González</t>
  </si>
  <si>
    <t>Eleodoro Arroyo</t>
  </si>
  <si>
    <t>Cesar Hernandez</t>
  </si>
  <si>
    <t>Jhon Herrera</t>
  </si>
  <si>
    <t>Guillermo Quintero</t>
  </si>
  <si>
    <t>Juan Carlos Riaño</t>
  </si>
  <si>
    <t>Mauricio Rincón</t>
  </si>
  <si>
    <t>Orlando  Hernandez</t>
  </si>
  <si>
    <t>VARONES CONGREGACIÓN</t>
  </si>
  <si>
    <t>MICRÓFONO</t>
  </si>
  <si>
    <t>ACOMODADOR</t>
  </si>
  <si>
    <t>PRESIDENTE</t>
  </si>
  <si>
    <t>LECTOR</t>
  </si>
  <si>
    <t>SI</t>
  </si>
  <si>
    <t>Paul García</t>
  </si>
  <si>
    <t>Emiliano Pacheco</t>
  </si>
  <si>
    <t>CONGREGACION NORTE DE TUNJA PRIVILEGIOS -SEPTIEMBRE 2024</t>
  </si>
  <si>
    <t>MARTES 3 DE SEPTIEMBRE 2024</t>
  </si>
  <si>
    <t>SABADO 7 DE SEPTIEMBRE 2024</t>
  </si>
  <si>
    <t>MARTES 10 DE SEPTIEMBRE 2024</t>
  </si>
  <si>
    <t>LECTOR  ATALAYA</t>
  </si>
  <si>
    <t>AUDITORIO Y PUERTA</t>
  </si>
  <si>
    <t>PLATAFORMA</t>
  </si>
  <si>
    <t>AUDITORIO</t>
  </si>
  <si>
    <t>Duban Torres</t>
  </si>
  <si>
    <t>AUDIO Y VIDEO</t>
  </si>
  <si>
    <t>VIDEO Y ZOOM</t>
  </si>
  <si>
    <t xml:space="preserve">ASEO </t>
  </si>
  <si>
    <t>ASEO</t>
  </si>
  <si>
    <t>2 Y 3</t>
  </si>
  <si>
    <t>GRUPOS</t>
  </si>
  <si>
    <t>HOSPITALIDAD</t>
  </si>
  <si>
    <t>GRUPO 4</t>
  </si>
  <si>
    <t>4 Y 5</t>
  </si>
  <si>
    <t>SABADO 14 DE SEPTIEMBRE 20 24</t>
  </si>
  <si>
    <t>MARTES 17 DE SEPTIEMBRE 2024</t>
  </si>
  <si>
    <t>SABADO 21 DE SEPTIEMBRE 2024</t>
  </si>
  <si>
    <t>LECTOR ATALAYA</t>
  </si>
  <si>
    <t>6  Y  7</t>
  </si>
  <si>
    <t>GRUPO  6</t>
  </si>
  <si>
    <t>MARTES 24 DE SEPTIEMBRE 2024</t>
  </si>
  <si>
    <t>SABADO 28 DE SEPTIEMBRE 2024</t>
  </si>
  <si>
    <t>Por eso, ya sea que estén comiendo, bebiendo o haciendo cualquier otra cosa, háganlo todo para la gloria de Dios.
(1 Corintios 10:31)</t>
  </si>
  <si>
    <t>1  Y 2</t>
  </si>
  <si>
    <t>1 Y 2</t>
  </si>
  <si>
    <t>9-15 DE DICIEMBRE</t>
  </si>
  <si>
    <t>MICROFONOS</t>
  </si>
  <si>
    <t>AC ENTRADA</t>
  </si>
  <si>
    <t>AC SALON</t>
  </si>
  <si>
    <t>Duvan Torres</t>
  </si>
  <si>
    <t>PRESIDENTE  FIN DE SEMANA</t>
  </si>
  <si>
    <t>...  háganlo todo para la gloria de Dios.
(1 Corintios 10:31)</t>
  </si>
  <si>
    <t>Grupo 7 y 1</t>
  </si>
  <si>
    <t>Grupo 3</t>
  </si>
  <si>
    <t>16-22 DE DICIEMBRE</t>
  </si>
  <si>
    <t xml:space="preserve">Jorge Alba </t>
  </si>
  <si>
    <t>Grupos 2 y 3</t>
  </si>
  <si>
    <t>Grupo 4</t>
  </si>
  <si>
    <t>23-29 DE DICIEMBRE</t>
  </si>
  <si>
    <t>Jimmy Pachecho</t>
  </si>
  <si>
    <t xml:space="preserve">Hernando Castro </t>
  </si>
  <si>
    <t>Grupos 4 y 5</t>
  </si>
  <si>
    <t>Grupo 5</t>
  </si>
  <si>
    <t>30 DE DICIEMBRE DE 2024 A 5 DE ENERO DE 2025</t>
  </si>
  <si>
    <t>Orlando Hernandez</t>
  </si>
  <si>
    <t>Henry Rodriquez</t>
  </si>
  <si>
    <t>Grupos 6 y 7</t>
  </si>
  <si>
    <t>Grupo 6</t>
  </si>
  <si>
    <t>Grupo 1 y 2</t>
  </si>
  <si>
    <t>Grupo 7</t>
  </si>
  <si>
    <t>Grupo 3 y 4</t>
  </si>
  <si>
    <t>Grupo 1</t>
  </si>
  <si>
    <t>Grupo 5 y 6</t>
  </si>
  <si>
    <t>Grupo 2</t>
  </si>
  <si>
    <t>LECTORES ATALAYA</t>
  </si>
  <si>
    <t xml:space="preserve"> PRIVILEGIOS DURANTE SEMANA 6-12 DE ENERO</t>
  </si>
  <si>
    <t xml:space="preserve"> PRIVILEGIOS DURANTE SEMANA 13 - 19 DE ENERO</t>
  </si>
  <si>
    <t xml:space="preserve"> PRIVILEGIOS DURANTE SEMANA 20-26 DE ENERO</t>
  </si>
  <si>
    <t xml:space="preserve"> PRIVILEGIOS DURANTE SEMANA 27 DE ENERO A 2 DE FEBRERO</t>
  </si>
  <si>
    <t>Programación Privilegios Congregación Norte</t>
  </si>
  <si>
    <t>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</si>
</sst>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theme="1"/>
      <name val="Calibri Light"/>
      <family val="2"/>
      <charset val="1"/>
    </font>
    <font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4"/>
      <color theme="1"/>
      <name val="Malgun Gothic"/>
      <family val="2"/>
      <charset val="1"/>
    </font>
    <font>
      <b/>
      <sz val="11"/>
      <color rgb="FF000000"/>
      <name val="Aptos Display"/>
      <family val="2"/>
    </font>
    <font>
      <sz val="12"/>
      <color theme="1"/>
      <name val="Aptos Display"/>
      <family val="2"/>
    </font>
    <font>
      <b/>
      <i/>
      <sz val="12"/>
      <color theme="3" tint="0.249977111117893"/>
      <name val="Calibri"/>
      <family val="2"/>
      <scheme val="minor"/>
    </font>
    <font>
      <b/>
      <sz val="16"/>
      <color theme="1"/>
      <name val="Aptos Display"/>
      <family val="2"/>
    </font>
    <font>
      <b/>
      <sz val="14"/>
      <color theme="1"/>
      <name val="Aptos Display"/>
      <family val="2"/>
    </font>
    <font>
      <b/>
      <sz val="14"/>
      <color theme="1"/>
      <name val="Calibri"/>
      <family val="2"/>
      <charset val="1"/>
    </font>
    <font>
      <b/>
      <sz val="18"/>
      <color theme="1" tint="0.34998626667073579"/>
      <name val="Arial Rounded MT Bold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8947111423078"/>
        <bgColor rgb="FF333333"/>
      </patternFill>
    </fill>
    <fill>
      <patternFill patternType="solid">
        <fgColor rgb="FF006600"/>
        <bgColor rgb="FF003300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0" fontId="8" fillId="0" borderId="4" xfId="0" applyFont="1" applyBorder="1"/>
    <xf numFmtId="0" fontId="8" fillId="0" borderId="4" xfId="0" applyFont="1" applyBorder="1" applyProtection="1">
      <protection locked="0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/>
    <xf numFmtId="0" fontId="10" fillId="3" borderId="4" xfId="0" applyFont="1" applyFill="1" applyBorder="1" applyAlignment="1" applyProtection="1">
      <alignment horizontal="center"/>
      <protection locked="0"/>
    </xf>
    <xf numFmtId="0" fontId="0" fillId="6" borderId="0" xfId="0" applyFill="1" applyAlignment="1">
      <alignment horizontal="center" vertical="center"/>
    </xf>
    <xf numFmtId="0" fontId="12" fillId="7" borderId="14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top"/>
      <protection locked="0"/>
    </xf>
    <xf numFmtId="0" fontId="13" fillId="9" borderId="2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/>
    </xf>
    <xf numFmtId="0" fontId="7" fillId="3" borderId="4" xfId="0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Alignment="1" applyProtection="1">
      <alignment horizontal="center"/>
      <protection locked="0"/>
    </xf>
    <xf numFmtId="0" fontId="1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top"/>
      <protection locked="0"/>
    </xf>
    <xf numFmtId="0" fontId="12" fillId="7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15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0" fillId="0" borderId="20" xfId="0" applyBorder="1"/>
    <xf numFmtId="0" fontId="12" fillId="7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12" fillId="7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15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0" fillId="0" borderId="21" xfId="0" applyBorder="1"/>
    <xf numFmtId="0" fontId="12" fillId="7" borderId="0" xfId="0" applyFont="1" applyFill="1" applyAlignment="1">
      <alignment horizontal="center" vertical="center" wrapText="1"/>
    </xf>
    <xf numFmtId="0" fontId="0" fillId="0" borderId="0" xfId="0"/>
    <xf numFmtId="0" fontId="14" fillId="0" borderId="16" xfId="0" applyFont="1" applyBorder="1" applyAlignment="1">
      <alignment horizontal="center" vertical="center" wrapText="1"/>
    </xf>
    <xf numFmtId="0" fontId="0" fillId="0" borderId="23" xfId="0" applyBorder="1"/>
    <xf numFmtId="0" fontId="0" fillId="0" borderId="5" xfId="0" applyBorder="1"/>
    <xf numFmtId="0" fontId="0" fillId="0" borderId="7" xfId="0" applyBorder="1"/>
    <xf numFmtId="0" fontId="0" fillId="0" borderId="17" xfId="0" applyBorder="1"/>
    <xf numFmtId="0" fontId="0" fillId="0" borderId="8" xfId="0" applyBorder="1"/>
    <xf numFmtId="0" fontId="13" fillId="8" borderId="24" xfId="0" applyFont="1" applyFill="1" applyBorder="1" applyAlignment="1">
      <alignment horizontal="center" vertical="center"/>
    </xf>
    <xf numFmtId="0" fontId="0" fillId="0" borderId="25" xfId="0" applyBorder="1"/>
    <xf numFmtId="0" fontId="13" fillId="8" borderId="15" xfId="0" applyFont="1" applyFill="1" applyBorder="1" applyAlignment="1">
      <alignment horizontal="center" vertical="center"/>
    </xf>
    <xf numFmtId="0" fontId="0" fillId="0" borderId="26" xfId="0" applyBorder="1"/>
    <xf numFmtId="0" fontId="13" fillId="9" borderId="15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9" borderId="24" xfId="0" applyFont="1" applyFill="1" applyBorder="1" applyAlignment="1">
      <alignment horizontal="center" vertical="center"/>
    </xf>
    <xf numFmtId="0" fontId="0" fillId="9" borderId="25" xfId="0" applyFill="1" applyBorder="1"/>
    <xf numFmtId="0" fontId="0" fillId="9" borderId="26" xfId="0" applyFill="1" applyBorder="1"/>
    <xf numFmtId="0" fontId="13" fillId="9" borderId="9" xfId="0" applyFont="1" applyFill="1" applyBorder="1" applyAlignment="1">
      <alignment horizontal="center" vertical="center" wrapText="1"/>
    </xf>
    <xf numFmtId="0" fontId="0" fillId="9" borderId="21" xfId="0" applyFill="1" applyBorder="1"/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0" fillId="9" borderId="19" xfId="0" applyFill="1" applyBorder="1"/>
    <xf numFmtId="0" fontId="16" fillId="0" borderId="3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49" fontId="18" fillId="0" borderId="0" xfId="0" applyNumberFormat="1" applyFont="1" applyAlignment="1" applyProtection="1">
      <alignment horizontal="center" vertical="top"/>
      <protection locked="0"/>
    </xf>
    <xf numFmtId="0" fontId="18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0</xdr:rowOff>
    </xdr:from>
    <xdr:to>
      <xdr:col>1</xdr:col>
      <xdr:colOff>1295640</xdr:colOff>
      <xdr:row>2</xdr:row>
      <xdr:rowOff>256320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3792" r="-3318" b="44043"/>
        <a:stretch/>
      </xdr:blipFill>
      <xdr:spPr>
        <a:xfrm>
          <a:off x="317880" y="0"/>
          <a:ext cx="1267200" cy="84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25920</xdr:rowOff>
    </xdr:from>
    <xdr:to>
      <xdr:col>2</xdr:col>
      <xdr:colOff>309300</xdr:colOff>
      <xdr:row>2</xdr:row>
      <xdr:rowOff>284040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3787" r="-3318" b="44036"/>
        <a:stretch/>
      </xdr:blipFill>
      <xdr:spPr>
        <a:xfrm>
          <a:off x="289440" y="25920"/>
          <a:ext cx="1300680" cy="84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25920</xdr:rowOff>
    </xdr:from>
    <xdr:to>
      <xdr:col>2</xdr:col>
      <xdr:colOff>309300</xdr:colOff>
      <xdr:row>2</xdr:row>
      <xdr:rowOff>284040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CE17F5-4859-42C1-A97E-6CC99FAF98BA}"/>
            </a:ext>
          </a:extLst>
        </xdr:cNvPr>
        <xdr:cNvPicPr/>
      </xdr:nvPicPr>
      <xdr:blipFill>
        <a:blip xmlns:r="http://schemas.openxmlformats.org/officeDocument/2006/relationships" r:embed="rId1"/>
        <a:srcRect t="3787" r="-3318" b="44036"/>
        <a:stretch/>
      </xdr:blipFill>
      <xdr:spPr>
        <a:xfrm>
          <a:off x="205740" y="25920"/>
          <a:ext cx="1269420" cy="8372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Hermanos" displayName="ListaHermanos" ref="A1:F38" totalsRowCount="1">
  <autoFilter ref="A1:F37" xr:uid="{00000000-0009-0000-0100-000001000000}">
    <filterColumn colId="3">
      <filters>
        <filter val="Andres Cárdenas"/>
        <filter val="Cesar Hernandez"/>
        <filter val="Edwin Quintero"/>
        <filter val="Felipe González"/>
        <filter val="Guillermo Quintero"/>
        <filter val="Henrry Rodriguez"/>
        <filter val="James Cabieles"/>
        <filter val="Jorge Alba"/>
        <filter val="Juan Carlos Riaño"/>
        <filter val="Orlando  Hernandez"/>
        <filter val="Ricardo Morales"/>
        <filter val="William Diaz"/>
      </filters>
    </filterColumn>
  </autoFilter>
  <tableColumns count="6">
    <tableColumn id="1" xr3:uid="{00000000-0010-0000-0000-000001000000}" name="ACOMODADORES"/>
    <tableColumn id="2" xr3:uid="{00000000-0010-0000-0000-000002000000}" name="MICRÓFONOS"/>
    <tableColumn id="3" xr3:uid="{00000000-0010-0000-0000-000003000000}" name="PRESIDENTES"/>
    <tableColumn id="4" xr3:uid="{00000000-0010-0000-0000-000004000000}" name="LECTORES ATALAYA"/>
    <tableColumn id="5" xr3:uid="{00000000-0010-0000-0000-000005000000}" name="AUDIO" totalsRowDxfId="1"/>
    <tableColumn id="6" xr3:uid="{00000000-0010-0000-0000-000006000000}" name="VIDEO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aHermanos3" displayName="ListaHermanos3" ref="A1:G29" totalsRowShown="0">
  <autoFilter ref="A1:G29" xr:uid="{00000000-0009-0000-0100-000002000000}">
    <filterColumn colId="4">
      <customFilters>
        <customFilter operator="notEqual" val=" "/>
      </customFilters>
    </filterColumn>
  </autoFilter>
  <tableColumns count="7">
    <tableColumn id="1" xr3:uid="{00000000-0010-0000-0100-000001000000}" name="VARONES CONGREGACIÓN"/>
    <tableColumn id="2" xr3:uid="{00000000-0010-0000-0100-000002000000}" name="MICRÓFONO"/>
    <tableColumn id="3" xr3:uid="{00000000-0010-0000-0100-000003000000}" name="ACOMODADOR"/>
    <tableColumn id="4" xr3:uid="{00000000-0010-0000-0100-000004000000}" name="PRESIDENTE"/>
    <tableColumn id="5" xr3:uid="{00000000-0010-0000-0100-000005000000}" name="LECTOR"/>
    <tableColumn id="6" xr3:uid="{00000000-0010-0000-0100-000006000000}" name="AUDIO"/>
    <tableColumn id="7" xr3:uid="{00000000-0010-0000-0100-000007000000}" name="VIDE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zoomScaleNormal="100" workbookViewId="0">
      <selection activeCell="D1" sqref="D1"/>
    </sheetView>
  </sheetViews>
  <sheetFormatPr baseColWidth="10" defaultColWidth="10.6640625" defaultRowHeight="14.4" x14ac:dyDescent="0.3"/>
  <cols>
    <col min="1" max="1" width="19" customWidth="1"/>
    <col min="2" max="4" width="18.6640625" customWidth="1"/>
    <col min="5" max="5" width="16.5546875" customWidth="1"/>
    <col min="6" max="6" width="1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4</v>
      </c>
      <c r="F1" s="1" t="s">
        <v>5</v>
      </c>
    </row>
    <row r="2" spans="1:6" x14ac:dyDescent="0.3">
      <c r="A2" t="str">
        <f>IF(ListaHermanos3[[#This Row],[ACOMODADOR]]="SI",ListaHermanos3[[#This Row],[VARONES CONGREGACIÓN]],"")</f>
        <v/>
      </c>
      <c r="B2" t="str">
        <f>IF(ListaHermanos3[[#This Row],[MICRÓFONO]]="SI",ListaHermanos3[[#This Row],[VARONES CONGREGACIÓN]],"")</f>
        <v>Andres Cárdenas</v>
      </c>
      <c r="C2" t="str">
        <f>IF(ListaHermanos3[[#This Row],[PRESIDENTE]]="SI",ListaHermanos3[[#This Row],[VARONES CONGREGACIÓN]],"")</f>
        <v/>
      </c>
      <c r="D2" t="str">
        <f>IF(ListaHermanos3[[#This Row],[LECTOR]]="SI",ListaHermanos3[[#This Row],[VARONES CONGREGACIÓN]],"")</f>
        <v>Andres Cárdenas</v>
      </c>
      <c r="E2" s="2" t="str">
        <f>IF(ListaHermanos3[[#This Row],[AUDIO]]="SI",ListaHermanos3[[#This Row],[VARONES CONGREGACIÓN]],"")</f>
        <v>Andres Cárdenas</v>
      </c>
      <c r="F2" s="2" t="str">
        <f>IF(ListaHermanos3[[#This Row],[VIDEO]]="SI",ListaHermanos3[[#This Row],[VARONES CONGREGACIÓN]],"")</f>
        <v>Andres Cárdenas</v>
      </c>
    </row>
    <row r="3" spans="1:6" hidden="1" x14ac:dyDescent="0.3">
      <c r="A3" t="str">
        <f>IF(ListaHermanos3[[#This Row],[ACOMODADOR]]="SI",ListaHermanos3[[#This Row],[VARONES CONGREGACIÓN]],"")</f>
        <v>Armando Toasura</v>
      </c>
      <c r="B3" t="str">
        <f>IF(ListaHermanos3[[#This Row],[MICRÓFONO]]="SI",ListaHermanos3[[#This Row],[VARONES CONGREGACIÓN]],"")</f>
        <v>Armando Toasura</v>
      </c>
      <c r="C3" t="str">
        <f>IF(ListaHermanos3[[#This Row],[PRESIDENTE]]="SI",ListaHermanos3[[#This Row],[VARONES CONGREGACIÓN]],"")</f>
        <v>Armando Toasura</v>
      </c>
      <c r="D3" t="str">
        <f>IF(ListaHermanos3[[#This Row],[LECTOR]]="SI",ListaHermanos3[[#This Row],[VARONES CONGREGACIÓN]],"")</f>
        <v/>
      </c>
      <c r="E3" s="2" t="str">
        <f>IF(ListaHermanos3[[#This Row],[AUDIO]]="SI",ListaHermanos3[[#This Row],[VARONES CONGREGACIÓN]],"")</f>
        <v>Armando Toasura</v>
      </c>
      <c r="F3" s="2" t="str">
        <f>IF(ListaHermanos3[[#This Row],[VIDEO]]="SI",ListaHermanos3[[#This Row],[VARONES CONGREGACIÓN]],"")</f>
        <v/>
      </c>
    </row>
    <row r="4" spans="1:6" x14ac:dyDescent="0.3">
      <c r="A4" t="str">
        <f>IF(ListaHermanos3[[#This Row],[ACOMODADOR]]="SI",ListaHermanos3[[#This Row],[VARONES CONGREGACIÓN]],"")</f>
        <v>Cesar Hernandez</v>
      </c>
      <c r="B4" t="str">
        <f>IF(ListaHermanos3[[#This Row],[MICRÓFONO]]="SI",ListaHermanos3[[#This Row],[VARONES CONGREGACIÓN]],"")</f>
        <v>Cesar Hernandez</v>
      </c>
      <c r="C4" t="str">
        <f>IF(ListaHermanos3[[#This Row],[PRESIDENTE]]="SI",ListaHermanos3[[#This Row],[VARONES CONGREGACIÓN]],"")</f>
        <v>Cesar Hernandez</v>
      </c>
      <c r="D4" t="str">
        <f>IF(ListaHermanos3[[#This Row],[LECTOR]]="SI",ListaHermanos3[[#This Row],[VARONES CONGREGACIÓN]],"")</f>
        <v>Cesar Hernandez</v>
      </c>
      <c r="E4" s="2" t="str">
        <f>IF(ListaHermanos3[[#This Row],[AUDIO]]="SI",ListaHermanos3[[#This Row],[VARONES CONGREGACIÓN]],"")</f>
        <v/>
      </c>
      <c r="F4" s="2" t="str">
        <f>IF(ListaHermanos3[[#This Row],[VIDEO]]="SI",ListaHermanos3[[#This Row],[VARONES CONGREGACIÓN]],"")</f>
        <v/>
      </c>
    </row>
    <row r="5" spans="1:6" hidden="1" x14ac:dyDescent="0.3">
      <c r="A5" t="str">
        <f>IF(ListaHermanos3[[#This Row],[ACOMODADOR]]="SI",ListaHermanos3[[#This Row],[VARONES CONGREGACIÓN]],"")</f>
        <v>Cristian Calderon</v>
      </c>
      <c r="B5" t="str">
        <f>IF(ListaHermanos3[[#This Row],[MICRÓFONO]]="SI",ListaHermanos3[[#This Row],[VARONES CONGREGACIÓN]],"")</f>
        <v>Cristian Calderon</v>
      </c>
      <c r="C5" t="str">
        <f>IF(ListaHermanos3[[#This Row],[PRESIDENTE]]="SI",ListaHermanos3[[#This Row],[VARONES CONGREGACIÓN]],"")</f>
        <v>Cristian Calderon</v>
      </c>
      <c r="D5" t="str">
        <f>IF(ListaHermanos3[[#This Row],[LECTOR]]="SI",ListaHermanos3[[#This Row],[VARONES CONGREGACIÓN]],"")</f>
        <v/>
      </c>
      <c r="E5" s="2" t="str">
        <f>IF(ListaHermanos3[[#This Row],[AUDIO]]="SI",ListaHermanos3[[#This Row],[VARONES CONGREGACIÓN]],"")</f>
        <v/>
      </c>
      <c r="F5" s="2" t="str">
        <f>IF(ListaHermanos3[[#This Row],[VIDEO]]="SI",ListaHermanos3[[#This Row],[VARONES CONGREGACIÓN]],"")</f>
        <v/>
      </c>
    </row>
    <row r="6" spans="1:6" hidden="1" x14ac:dyDescent="0.3">
      <c r="A6" t="str">
        <f>IF(ListaHermanos3[[#This Row],[ACOMODADOR]]="SI",ListaHermanos3[[#This Row],[VARONES CONGREGACIÓN]],"")</f>
        <v>Daniel Gonzalez</v>
      </c>
      <c r="B6" t="str">
        <f>IF(ListaHermanos3[[#This Row],[MICRÓFONO]]="SI",ListaHermanos3[[#This Row],[VARONES CONGREGACIÓN]],"")</f>
        <v>Daniel Gonzalez</v>
      </c>
      <c r="C6" t="str">
        <f>IF(ListaHermanos3[[#This Row],[PRESIDENTE]]="SI",ListaHermanos3[[#This Row],[VARONES CONGREGACIÓN]],"")</f>
        <v/>
      </c>
      <c r="D6" t="str">
        <f>IF(ListaHermanos3[[#This Row],[LECTOR]]="SI",ListaHermanos3[[#This Row],[VARONES CONGREGACIÓN]],"")</f>
        <v/>
      </c>
      <c r="E6" s="2" t="str">
        <f>IF(ListaHermanos3[[#This Row],[AUDIO]]="SI",ListaHermanos3[[#This Row],[VARONES CONGREGACIÓN]],"")</f>
        <v>Daniel Gonzalez</v>
      </c>
      <c r="F6" s="2" t="str">
        <f>IF(ListaHermanos3[[#This Row],[VIDEO]]="SI",ListaHermanos3[[#This Row],[VARONES CONGREGACIÓN]],"")</f>
        <v>Daniel Gonzalez</v>
      </c>
    </row>
    <row r="7" spans="1:6" hidden="1" x14ac:dyDescent="0.3">
      <c r="A7" t="str">
        <f>IF(ListaHermanos3[[#This Row],[ACOMODADOR]]="SI",ListaHermanos3[[#This Row],[VARONES CONGREGACIÓN]],"")</f>
        <v>Duván Torres</v>
      </c>
      <c r="B7" t="str">
        <f>IF(ListaHermanos3[[#This Row],[MICRÓFONO]]="SI",ListaHermanos3[[#This Row],[VARONES CONGREGACIÓN]],"")</f>
        <v>Duván Torres</v>
      </c>
      <c r="C7" t="str">
        <f>IF(ListaHermanos3[[#This Row],[PRESIDENTE]]="SI",ListaHermanos3[[#This Row],[VARONES CONGREGACIÓN]],"")</f>
        <v/>
      </c>
      <c r="D7" t="str">
        <f>IF(ListaHermanos3[[#This Row],[LECTOR]]="SI",ListaHermanos3[[#This Row],[VARONES CONGREGACIÓN]],"")</f>
        <v/>
      </c>
      <c r="E7" s="2" t="str">
        <f>IF(ListaHermanos3[[#This Row],[AUDIO]]="SI",ListaHermanos3[[#This Row],[VARONES CONGREGACIÓN]],"")</f>
        <v>Duván Torres</v>
      </c>
      <c r="F7" s="2" t="str">
        <f>IF(ListaHermanos3[[#This Row],[VIDEO]]="SI",ListaHermanos3[[#This Row],[VARONES CONGREGACIÓN]],"")</f>
        <v>Duván Torres</v>
      </c>
    </row>
    <row r="8" spans="1:6" x14ac:dyDescent="0.3">
      <c r="A8" t="str">
        <f>IF(ListaHermanos3[[#This Row],[ACOMODADOR]]="SI",ListaHermanos3[[#This Row],[VARONES CONGREGACIÓN]],"")</f>
        <v>Edwin Quintero</v>
      </c>
      <c r="B8" t="str">
        <f>IF(ListaHermanos3[[#This Row],[MICRÓFONO]]="SI",ListaHermanos3[[#This Row],[VARONES CONGREGACIÓN]],"")</f>
        <v>Edwin Quintero</v>
      </c>
      <c r="C8" t="str">
        <f>IF(ListaHermanos3[[#This Row],[PRESIDENTE]]="SI",ListaHermanos3[[#This Row],[VARONES CONGREGACIÓN]],"")</f>
        <v>Edwin Quintero</v>
      </c>
      <c r="D8" t="str">
        <f>IF(ListaHermanos3[[#This Row],[LECTOR]]="SI",ListaHermanos3[[#This Row],[VARONES CONGREGACIÓN]],"")</f>
        <v>Edwin Quintero</v>
      </c>
      <c r="E8" s="2" t="str">
        <f>IF(ListaHermanos3[[#This Row],[AUDIO]]="SI",ListaHermanos3[[#This Row],[VARONES CONGREGACIÓN]],"")</f>
        <v>Edwin Quintero</v>
      </c>
      <c r="F8" s="2" t="str">
        <f>IF(ListaHermanos3[[#This Row],[VIDEO]]="SI",ListaHermanos3[[#This Row],[VARONES CONGREGACIÓN]],"")</f>
        <v>Edwin Quintero</v>
      </c>
    </row>
    <row r="9" spans="1:6" hidden="1" x14ac:dyDescent="0.3">
      <c r="A9" t="str">
        <f>IF(ListaHermanos3[[#This Row],[ACOMODADOR]]="SI",ListaHermanos3[[#This Row],[VARONES CONGREGACIÓN]],"")</f>
        <v>Emiliano Quintero</v>
      </c>
      <c r="B9" t="str">
        <f>IF(ListaHermanos3[[#This Row],[MICRÓFONO]]="SI",ListaHermanos3[[#This Row],[VARONES CONGREGACIÓN]],"")</f>
        <v>Emiliano Quintero</v>
      </c>
      <c r="C9" t="str">
        <f>IF(ListaHermanos3[[#This Row],[PRESIDENTE]]="SI",ListaHermanos3[[#This Row],[VARONES CONGREGACIÓN]],"")</f>
        <v/>
      </c>
      <c r="D9" t="str">
        <f>IF(ListaHermanos3[[#This Row],[LECTOR]]="SI",ListaHermanos3[[#This Row],[VARONES CONGREGACIÓN]],"")</f>
        <v/>
      </c>
      <c r="E9" s="2" t="str">
        <f>IF(ListaHermanos3[[#This Row],[AUDIO]]="SI",ListaHermanos3[[#This Row],[VARONES CONGREGACIÓN]],"")</f>
        <v>Emiliano Quintero</v>
      </c>
      <c r="F9" s="2" t="str">
        <f>IF(ListaHermanos3[[#This Row],[VIDEO]]="SI",ListaHermanos3[[#This Row],[VARONES CONGREGACIÓN]],"")</f>
        <v/>
      </c>
    </row>
    <row r="10" spans="1:6" hidden="1" x14ac:dyDescent="0.3">
      <c r="A10" t="str">
        <f>IF(ListaHermanos3[[#This Row],[ACOMODADOR]]="SI",ListaHermanos3[[#This Row],[VARONES CONGREGACIÓN]],"")</f>
        <v>Esteban Barajas</v>
      </c>
      <c r="B10" t="str">
        <f>IF(ListaHermanos3[[#This Row],[MICRÓFONO]]="SI",ListaHermanos3[[#This Row],[VARONES CONGREGACIÓN]],"")</f>
        <v>Esteban Barajas</v>
      </c>
      <c r="C10" t="str">
        <f>IF(ListaHermanos3[[#This Row],[PRESIDENTE]]="SI",ListaHermanos3[[#This Row],[VARONES CONGREGACIÓN]],"")</f>
        <v/>
      </c>
      <c r="D10" t="str">
        <f>IF(ListaHermanos3[[#This Row],[LECTOR]]="SI",ListaHermanos3[[#This Row],[VARONES CONGREGACIÓN]],"")</f>
        <v/>
      </c>
      <c r="E10" s="2" t="str">
        <f>IF(ListaHermanos3[[#This Row],[AUDIO]]="SI",ListaHermanos3[[#This Row],[VARONES CONGREGACIÓN]],"")</f>
        <v>Esteban Barajas</v>
      </c>
      <c r="F10" s="2" t="str">
        <f>IF(ListaHermanos3[[#This Row],[VIDEO]]="SI",ListaHermanos3[[#This Row],[VARONES CONGREGACIÓN]],"")</f>
        <v>Esteban Barajas</v>
      </c>
    </row>
    <row r="11" spans="1:6" x14ac:dyDescent="0.3">
      <c r="A11" t="str">
        <f>IF(ListaHermanos3[[#This Row],[ACOMODADOR]]="SI",ListaHermanos3[[#This Row],[VARONES CONGREGACIÓN]],"")</f>
        <v>Felipe González</v>
      </c>
      <c r="B11" t="str">
        <f>IF(ListaHermanos3[[#This Row],[MICRÓFONO]]="SI",ListaHermanos3[[#This Row],[VARONES CONGREGACIÓN]],"")</f>
        <v>Felipe González</v>
      </c>
      <c r="C11" t="str">
        <f>IF(ListaHermanos3[[#This Row],[PRESIDENTE]]="SI",ListaHermanos3[[#This Row],[VARONES CONGREGACIÓN]],"")</f>
        <v>Felipe González</v>
      </c>
      <c r="D11" t="str">
        <f>IF(ListaHermanos3[[#This Row],[LECTOR]]="SI",ListaHermanos3[[#This Row],[VARONES CONGREGACIÓN]],"")</f>
        <v>Felipe González</v>
      </c>
      <c r="E11" s="2" t="str">
        <f>IF(ListaHermanos3[[#This Row],[AUDIO]]="SI",ListaHermanos3[[#This Row],[VARONES CONGREGACIÓN]],"")</f>
        <v/>
      </c>
      <c r="F11" s="2" t="str">
        <f>IF(ListaHermanos3[[#This Row],[VIDEO]]="SI",ListaHermanos3[[#This Row],[VARONES CONGREGACIÓN]],"")</f>
        <v/>
      </c>
    </row>
    <row r="12" spans="1:6" x14ac:dyDescent="0.3">
      <c r="A12" t="str">
        <f>IF(ListaHermanos3[[#This Row],[ACOMODADOR]]="SI",ListaHermanos3[[#This Row],[VARONES CONGREGACIÓN]],"")</f>
        <v>Guillermo Quintero</v>
      </c>
      <c r="B12" t="str">
        <f>IF(ListaHermanos3[[#This Row],[MICRÓFONO]]="SI",ListaHermanos3[[#This Row],[VARONES CONGREGACIÓN]],"")</f>
        <v>Guillermo Quintero</v>
      </c>
      <c r="C12" t="str">
        <f>IF(ListaHermanos3[[#This Row],[PRESIDENTE]]="SI",ListaHermanos3[[#This Row],[VARONES CONGREGACIÓN]],"")</f>
        <v/>
      </c>
      <c r="D12" t="str">
        <f>IF(ListaHermanos3[[#This Row],[LECTOR]]="SI",ListaHermanos3[[#This Row],[VARONES CONGREGACIÓN]],"")</f>
        <v>Guillermo Quintero</v>
      </c>
      <c r="E12" s="2" t="str">
        <f>IF(ListaHermanos3[[#This Row],[AUDIO]]="SI",ListaHermanos3[[#This Row],[VARONES CONGREGACIÓN]],"")</f>
        <v/>
      </c>
      <c r="F12" s="2" t="str">
        <f>IF(ListaHermanos3[[#This Row],[VIDEO]]="SI",ListaHermanos3[[#This Row],[VARONES CONGREGACIÓN]],"")</f>
        <v/>
      </c>
    </row>
    <row r="13" spans="1:6" hidden="1" x14ac:dyDescent="0.3">
      <c r="A13" t="str">
        <f>IF(ListaHermanos3[[#This Row],[ACOMODADOR]]="SI",ListaHermanos3[[#This Row],[VARONES CONGREGACIÓN]],"")</f>
        <v>Gustavo Ramirez</v>
      </c>
      <c r="B13" t="str">
        <f>IF(ListaHermanos3[[#This Row],[MICRÓFONO]]="SI",ListaHermanos3[[#This Row],[VARONES CONGREGACIÓN]],"")</f>
        <v>Gustavo Ramirez</v>
      </c>
      <c r="C13" t="str">
        <f>IF(ListaHermanos3[[#This Row],[PRESIDENTE]]="SI",ListaHermanos3[[#This Row],[VARONES CONGREGACIÓN]],"")</f>
        <v>Gustavo Ramirez</v>
      </c>
      <c r="D13" t="str">
        <f>IF(ListaHermanos3[[#This Row],[LECTOR]]="SI",ListaHermanos3[[#This Row],[VARONES CONGREGACIÓN]],"")</f>
        <v/>
      </c>
      <c r="E13" s="2" t="str">
        <f>IF(ListaHermanos3[[#This Row],[AUDIO]]="SI",ListaHermanos3[[#This Row],[VARONES CONGREGACIÓN]],"")</f>
        <v/>
      </c>
      <c r="F13" s="2" t="str">
        <f>IF(ListaHermanos3[[#This Row],[VIDEO]]="SI",ListaHermanos3[[#This Row],[VARONES CONGREGACIÓN]],"")</f>
        <v/>
      </c>
    </row>
    <row r="14" spans="1:6" x14ac:dyDescent="0.3">
      <c r="A14" t="str">
        <f>IF(ListaHermanos3[[#This Row],[ACOMODADOR]]="SI",ListaHermanos3[[#This Row],[VARONES CONGREGACIÓN]],"")</f>
        <v>Henrry Rodriguez</v>
      </c>
      <c r="B14" t="str">
        <f>IF(ListaHermanos3[[#This Row],[MICRÓFONO]]="SI",ListaHermanos3[[#This Row],[VARONES CONGREGACIÓN]],"")</f>
        <v>Henrry Rodriguez</v>
      </c>
      <c r="C14" t="str">
        <f>IF(ListaHermanos3[[#This Row],[PRESIDENTE]]="SI",ListaHermanos3[[#This Row],[VARONES CONGREGACIÓN]],"")</f>
        <v>Henrry Rodriguez</v>
      </c>
      <c r="D14" t="str">
        <f>IF(ListaHermanos3[[#This Row],[LECTOR]]="SI",ListaHermanos3[[#This Row],[VARONES CONGREGACIÓN]],"")</f>
        <v>Henrry Rodriguez</v>
      </c>
      <c r="E14" s="2" t="str">
        <f>IF(ListaHermanos3[[#This Row],[AUDIO]]="SI",ListaHermanos3[[#This Row],[VARONES CONGREGACIÓN]],"")</f>
        <v/>
      </c>
      <c r="F14" s="2" t="str">
        <f>IF(ListaHermanos3[[#This Row],[VIDEO]]="SI",ListaHermanos3[[#This Row],[VARONES CONGREGACIÓN]],"")</f>
        <v/>
      </c>
    </row>
    <row r="15" spans="1:6" hidden="1" x14ac:dyDescent="0.3">
      <c r="A15" t="str">
        <f>IF(ListaHermanos3[[#This Row],[ACOMODADOR]]="SI",ListaHermanos3[[#This Row],[VARONES CONGREGACIÓN]],"")</f>
        <v>Hernando Castro</v>
      </c>
      <c r="B15" t="str">
        <f>IF(ListaHermanos3[[#This Row],[MICRÓFONO]]="SI",ListaHermanos3[[#This Row],[VARONES CONGREGACIÓN]],"")</f>
        <v>Hernando Castro</v>
      </c>
      <c r="C15" t="str">
        <f>IF(ListaHermanos3[[#This Row],[PRESIDENTE]]="SI",ListaHermanos3[[#This Row],[VARONES CONGREGACIÓN]],"")</f>
        <v/>
      </c>
      <c r="D15" t="str">
        <f>IF(ListaHermanos3[[#This Row],[LECTOR]]="SI",ListaHermanos3[[#This Row],[VARONES CONGREGACIÓN]],"")</f>
        <v/>
      </c>
      <c r="E15" s="2" t="str">
        <f>IF(ListaHermanos3[[#This Row],[AUDIO]]="SI",ListaHermanos3[[#This Row],[VARONES CONGREGACIÓN]],"")</f>
        <v/>
      </c>
      <c r="F15" s="2" t="str">
        <f>IF(ListaHermanos3[[#This Row],[VIDEO]]="SI",ListaHermanos3[[#This Row],[VARONES CONGREGACIÓN]],"")</f>
        <v/>
      </c>
    </row>
    <row r="16" spans="1:6" x14ac:dyDescent="0.3">
      <c r="A16" t="str">
        <f>IF(ListaHermanos3[[#This Row],[ACOMODADOR]]="SI",ListaHermanos3[[#This Row],[VARONES CONGREGACIÓN]],"")</f>
        <v>James Cabieles</v>
      </c>
      <c r="B16" t="str">
        <f>IF(ListaHermanos3[[#This Row],[MICRÓFONO]]="SI",ListaHermanos3[[#This Row],[VARONES CONGREGACIÓN]],"")</f>
        <v>James Cabieles</v>
      </c>
      <c r="C16" t="str">
        <f>IF(ListaHermanos3[[#This Row],[PRESIDENTE]]="SI",ListaHermanos3[[#This Row],[VARONES CONGREGACIÓN]],"")</f>
        <v>James Cabieles</v>
      </c>
      <c r="D16" t="str">
        <f>IF(ListaHermanos3[[#This Row],[LECTOR]]="SI",ListaHermanos3[[#This Row],[VARONES CONGREGACIÓN]],"")</f>
        <v>James Cabieles</v>
      </c>
      <c r="E16" s="2" t="str">
        <f>IF(ListaHermanos3[[#This Row],[AUDIO]]="SI",ListaHermanos3[[#This Row],[VARONES CONGREGACIÓN]],"")</f>
        <v>James Cabieles</v>
      </c>
      <c r="F16" s="2" t="str">
        <f>IF(ListaHermanos3[[#This Row],[VIDEO]]="SI",ListaHermanos3[[#This Row],[VARONES CONGREGACIÓN]],"")</f>
        <v>James Cabieles</v>
      </c>
    </row>
    <row r="17" spans="1:6" hidden="1" x14ac:dyDescent="0.3">
      <c r="A17" t="str">
        <f>IF(ListaHermanos3[[#This Row],[ACOMODADOR]]="SI",ListaHermanos3[[#This Row],[VARONES CONGREGACIÓN]],"")</f>
        <v>Jhon Herrera</v>
      </c>
      <c r="B17" t="str">
        <f>IF(ListaHermanos3[[#This Row],[MICRÓFONO]]="SI",ListaHermanos3[[#This Row],[VARONES CONGREGACIÓN]],"")</f>
        <v>Jhon Herrera</v>
      </c>
      <c r="C17" t="str">
        <f>IF(ListaHermanos3[[#This Row],[PRESIDENTE]]="SI",ListaHermanos3[[#This Row],[VARONES CONGREGACIÓN]],"")</f>
        <v/>
      </c>
      <c r="D17" t="str">
        <f>IF(ListaHermanos3[[#This Row],[LECTOR]]="SI",ListaHermanos3[[#This Row],[VARONES CONGREGACIÓN]],"")</f>
        <v/>
      </c>
      <c r="E17" s="2" t="str">
        <f>IF(ListaHermanos3[[#This Row],[AUDIO]]="SI",ListaHermanos3[[#This Row],[VARONES CONGREGACIÓN]],"")</f>
        <v>Jhon Herrera</v>
      </c>
      <c r="F17" s="2" t="str">
        <f>IF(ListaHermanos3[[#This Row],[VIDEO]]="SI",ListaHermanos3[[#This Row],[VARONES CONGREGACIÓN]],"")</f>
        <v>Jhon Herrera</v>
      </c>
    </row>
    <row r="18" spans="1:6" hidden="1" x14ac:dyDescent="0.3">
      <c r="A18" t="str">
        <f>IF(ListaHermanos3[[#This Row],[ACOMODADOR]]="SI",ListaHermanos3[[#This Row],[VARONES CONGREGACIÓN]],"")</f>
        <v>Jimmy Pacheco</v>
      </c>
      <c r="B18" t="str">
        <f>IF(ListaHermanos3[[#This Row],[MICRÓFONO]]="SI",ListaHermanos3[[#This Row],[VARONES CONGREGACIÓN]],"")</f>
        <v>Jimmy Pacheco</v>
      </c>
      <c r="C18" t="str">
        <f>IF(ListaHermanos3[[#This Row],[PRESIDENTE]]="SI",ListaHermanos3[[#This Row],[VARONES CONGREGACIÓN]],"")</f>
        <v>Jimmy Pacheco</v>
      </c>
      <c r="D18" t="str">
        <f>IF(ListaHermanos3[[#This Row],[LECTOR]]="SI",ListaHermanos3[[#This Row],[VARONES CONGREGACIÓN]],"")</f>
        <v/>
      </c>
      <c r="E18" s="2" t="str">
        <f>IF(ListaHermanos3[[#This Row],[AUDIO]]="SI",ListaHermanos3[[#This Row],[VARONES CONGREGACIÓN]],"")</f>
        <v>Jimmy Pacheco</v>
      </c>
      <c r="F18" s="2" t="str">
        <f>IF(ListaHermanos3[[#This Row],[VIDEO]]="SI",ListaHermanos3[[#This Row],[VARONES CONGREGACIÓN]],"")</f>
        <v>Jimmy Pacheco</v>
      </c>
    </row>
    <row r="19" spans="1:6" x14ac:dyDescent="0.3">
      <c r="A19" t="str">
        <f>IF(ListaHermanos3[[#This Row],[ACOMODADOR]]="SI",ListaHermanos3[[#This Row],[VARONES CONGREGACIÓN]],"")</f>
        <v>Jorge Alba</v>
      </c>
      <c r="B19" t="str">
        <f>IF(ListaHermanos3[[#This Row],[MICRÓFONO]]="SI",ListaHermanos3[[#This Row],[VARONES CONGREGACIÓN]],"")</f>
        <v>Jorge Alba</v>
      </c>
      <c r="C19" t="str">
        <f>IF(ListaHermanos3[[#This Row],[PRESIDENTE]]="SI",ListaHermanos3[[#This Row],[VARONES CONGREGACIÓN]],"")</f>
        <v>Jorge Alba</v>
      </c>
      <c r="D19" t="str">
        <f>IF(ListaHermanos3[[#This Row],[LECTOR]]="SI",ListaHermanos3[[#This Row],[VARONES CONGREGACIÓN]],"")</f>
        <v>Jorge Alba</v>
      </c>
      <c r="E19" s="2" t="str">
        <f>IF(ListaHermanos3[[#This Row],[AUDIO]]="SI",ListaHermanos3[[#This Row],[VARONES CONGREGACIÓN]],"")</f>
        <v/>
      </c>
      <c r="F19" s="2" t="str">
        <f>IF(ListaHermanos3[[#This Row],[VIDEO]]="SI",ListaHermanos3[[#This Row],[VARONES CONGREGACIÓN]],"")</f>
        <v/>
      </c>
    </row>
    <row r="20" spans="1:6" x14ac:dyDescent="0.3">
      <c r="A20" t="str">
        <f>IF(ListaHermanos3[[#This Row],[ACOMODADOR]]="SI",ListaHermanos3[[#This Row],[VARONES CONGREGACIÓN]],"")</f>
        <v>Juan Carlos Riaño</v>
      </c>
      <c r="B20" t="str">
        <f>IF(ListaHermanos3[[#This Row],[MICRÓFONO]]="SI",ListaHermanos3[[#This Row],[VARONES CONGREGACIÓN]],"")</f>
        <v>Juan Carlos Riaño</v>
      </c>
      <c r="C20" t="str">
        <f>IF(ListaHermanos3[[#This Row],[PRESIDENTE]]="SI",ListaHermanos3[[#This Row],[VARONES CONGREGACIÓN]],"")</f>
        <v>Juan Carlos Riaño</v>
      </c>
      <c r="D20" t="str">
        <f>IF(ListaHermanos3[[#This Row],[LECTOR]]="SI",ListaHermanos3[[#This Row],[VARONES CONGREGACIÓN]],"")</f>
        <v>Juan Carlos Riaño</v>
      </c>
      <c r="E20" s="2" t="str">
        <f>IF(ListaHermanos3[[#This Row],[AUDIO]]="SI",ListaHermanos3[[#This Row],[VARONES CONGREGACIÓN]],"")</f>
        <v>Juan Carlos Riaño</v>
      </c>
      <c r="F20" s="2" t="str">
        <f>IF(ListaHermanos3[[#This Row],[VIDEO]]="SI",ListaHermanos3[[#This Row],[VARONES CONGREGACIÓN]],"")</f>
        <v/>
      </c>
    </row>
    <row r="21" spans="1:6" hidden="1" x14ac:dyDescent="0.3">
      <c r="A21" t="str">
        <f>IF(ListaHermanos3[[#This Row],[ACOMODADOR]]="SI",ListaHermanos3[[#This Row],[VARONES CONGREGACIÓN]],"")</f>
        <v>Mauricio Rincón</v>
      </c>
      <c r="B21" t="str">
        <f>IF(ListaHermanos3[[#This Row],[MICRÓFONO]]="SI",ListaHermanos3[[#This Row],[VARONES CONGREGACIÓN]],"")</f>
        <v>Mauricio Rincón</v>
      </c>
      <c r="C21" t="str">
        <f>IF(ListaHermanos3[[#This Row],[PRESIDENTE]]="SI",ListaHermanos3[[#This Row],[VARONES CONGREGACIÓN]],"")</f>
        <v/>
      </c>
      <c r="D21" t="str">
        <f>IF(ListaHermanos3[[#This Row],[LECTOR]]="SI",ListaHermanos3[[#This Row],[VARONES CONGREGACIÓN]],"")</f>
        <v/>
      </c>
      <c r="E21" s="2" t="str">
        <f>IF(ListaHermanos3[[#This Row],[AUDIO]]="SI",ListaHermanos3[[#This Row],[VARONES CONGREGACIÓN]],"")</f>
        <v>Mauricio Rincón</v>
      </c>
      <c r="F21" s="2" t="str">
        <f>IF(ListaHermanos3[[#This Row],[VIDEO]]="SI",ListaHermanos3[[#This Row],[VARONES CONGREGACIÓN]],"")</f>
        <v>Mauricio Rincón</v>
      </c>
    </row>
    <row r="22" spans="1:6" x14ac:dyDescent="0.3">
      <c r="A22" t="str">
        <f>IF(ListaHermanos3[[#This Row],[ACOMODADOR]]="SI",ListaHermanos3[[#This Row],[VARONES CONGREGACIÓN]],"")</f>
        <v>Orlando  Hernandez</v>
      </c>
      <c r="B22" t="str">
        <f>IF(ListaHermanos3[[#This Row],[MICRÓFONO]]="SI",ListaHermanos3[[#This Row],[VARONES CONGREGACIÓN]],"")</f>
        <v>Orlando  Hernandez</v>
      </c>
      <c r="C22" t="str">
        <f>IF(ListaHermanos3[[#This Row],[PRESIDENTE]]="SI",ListaHermanos3[[#This Row],[VARONES CONGREGACIÓN]],"")</f>
        <v>Orlando  Hernandez</v>
      </c>
      <c r="D22" t="str">
        <f>IF(ListaHermanos3[[#This Row],[LECTOR]]="SI",ListaHermanos3[[#This Row],[VARONES CONGREGACIÓN]],"")</f>
        <v>Orlando  Hernandez</v>
      </c>
      <c r="E22" s="2" t="str">
        <f>IF(ListaHermanos3[[#This Row],[AUDIO]]="SI",ListaHermanos3[[#This Row],[VARONES CONGREGACIÓN]],"")</f>
        <v/>
      </c>
      <c r="F22" s="2" t="str">
        <f>IF(ListaHermanos3[[#This Row],[VIDEO]]="SI",ListaHermanos3[[#This Row],[VARONES CONGREGACIÓN]],"")</f>
        <v/>
      </c>
    </row>
    <row r="23" spans="1:6" hidden="1" x14ac:dyDescent="0.3">
      <c r="A23" t="str">
        <f>IF(ListaHermanos3[[#This Row],[ACOMODADOR]]="SI",ListaHermanos3[[#This Row],[VARONES CONGREGACIÓN]],"")</f>
        <v>Orlando Fagua</v>
      </c>
      <c r="B23" t="str">
        <f>IF(ListaHermanos3[[#This Row],[MICRÓFONO]]="SI",ListaHermanos3[[#This Row],[VARONES CONGREGACIÓN]],"")</f>
        <v>Orlando Fagua</v>
      </c>
      <c r="C23" t="str">
        <f>IF(ListaHermanos3[[#This Row],[PRESIDENTE]]="SI",ListaHermanos3[[#This Row],[VARONES CONGREGACIÓN]],"")</f>
        <v/>
      </c>
      <c r="D23" t="str">
        <f>IF(ListaHermanos3[[#This Row],[LECTOR]]="SI",ListaHermanos3[[#This Row],[VARONES CONGREGACIÓN]],"")</f>
        <v/>
      </c>
      <c r="E23" s="2" t="str">
        <f>IF(ListaHermanos3[[#This Row],[AUDIO]]="SI",ListaHermanos3[[#This Row],[VARONES CONGREGACIÓN]],"")</f>
        <v/>
      </c>
      <c r="F23" s="2" t="str">
        <f>IF(ListaHermanos3[[#This Row],[VIDEO]]="SI",ListaHermanos3[[#This Row],[VARONES CONGREGACIÓN]],"")</f>
        <v/>
      </c>
    </row>
    <row r="24" spans="1:6" x14ac:dyDescent="0.3">
      <c r="A24" t="str">
        <f>IF(ListaHermanos3[[#This Row],[ACOMODADOR]]="SI",ListaHermanos3[[#This Row],[VARONES CONGREGACIÓN]],"")</f>
        <v>Ricardo Morales</v>
      </c>
      <c r="B24" t="str">
        <f>IF(ListaHermanos3[[#This Row],[MICRÓFONO]]="SI",ListaHermanos3[[#This Row],[VARONES CONGREGACIÓN]],"")</f>
        <v>Ricardo Morales</v>
      </c>
      <c r="C24" t="str">
        <f>IF(ListaHermanos3[[#This Row],[PRESIDENTE]]="SI",ListaHermanos3[[#This Row],[VARONES CONGREGACIÓN]],"")</f>
        <v>Ricardo Morales</v>
      </c>
      <c r="D24" t="str">
        <f>IF(ListaHermanos3[[#This Row],[LECTOR]]="SI",ListaHermanos3[[#This Row],[VARONES CONGREGACIÓN]],"")</f>
        <v>Ricardo Morales</v>
      </c>
      <c r="E24" s="2" t="str">
        <f>IF(ListaHermanos3[[#This Row],[AUDIO]]="SI",ListaHermanos3[[#This Row],[VARONES CONGREGACIÓN]],"")</f>
        <v>Ricardo Morales</v>
      </c>
      <c r="F24" s="2" t="str">
        <f>IF(ListaHermanos3[[#This Row],[VIDEO]]="SI",ListaHermanos3[[#This Row],[VARONES CONGREGACIÓN]],"")</f>
        <v/>
      </c>
    </row>
    <row r="25" spans="1:6" hidden="1" x14ac:dyDescent="0.3">
      <c r="A25" t="str">
        <f>IF(ListaHermanos3[[#This Row],[ACOMODADOR]]="SI",ListaHermanos3[[#This Row],[VARONES CONGREGACIÓN]],"")</f>
        <v>Vicente Castro</v>
      </c>
      <c r="B25" t="str">
        <f>IF(ListaHermanos3[[#This Row],[MICRÓFONO]]="SI",ListaHermanos3[[#This Row],[VARONES CONGREGACIÓN]],"")</f>
        <v>Vicente Castro</v>
      </c>
      <c r="C25" t="str">
        <f>IF(ListaHermanos3[[#This Row],[PRESIDENTE]]="SI",ListaHermanos3[[#This Row],[VARONES CONGREGACIÓN]],"")</f>
        <v/>
      </c>
      <c r="D25" t="str">
        <f>IF(ListaHermanos3[[#This Row],[LECTOR]]="SI",ListaHermanos3[[#This Row],[VARONES CONGREGACIÓN]],"")</f>
        <v/>
      </c>
      <c r="E25" s="2" t="str">
        <f>IF(ListaHermanos3[[#This Row],[AUDIO]]="SI",ListaHermanos3[[#This Row],[VARONES CONGREGACIÓN]],"")</f>
        <v/>
      </c>
      <c r="F25" s="2" t="str">
        <f>IF(ListaHermanos3[[#This Row],[VIDEO]]="SI",ListaHermanos3[[#This Row],[VARONES CONGREGACIÓN]],"")</f>
        <v/>
      </c>
    </row>
    <row r="26" spans="1:6" x14ac:dyDescent="0.3">
      <c r="A26" t="str">
        <f>IF(ListaHermanos3[[#This Row],[ACOMODADOR]]="SI",ListaHermanos3[[#This Row],[VARONES CONGREGACIÓN]],"")</f>
        <v>William Diaz</v>
      </c>
      <c r="B26" t="str">
        <f>IF(ListaHermanos3[[#This Row],[MICRÓFONO]]="SI",ListaHermanos3[[#This Row],[VARONES CONGREGACIÓN]],"")</f>
        <v>William Diaz</v>
      </c>
      <c r="C26" t="str">
        <f>IF(ListaHermanos3[[#This Row],[PRESIDENTE]]="SI",ListaHermanos3[[#This Row],[VARONES CONGREGACIÓN]],"")</f>
        <v>William Diaz</v>
      </c>
      <c r="D26" t="str">
        <f>IF(ListaHermanos3[[#This Row],[LECTOR]]="SI",ListaHermanos3[[#This Row],[VARONES CONGREGACIÓN]],"")</f>
        <v>William Diaz</v>
      </c>
      <c r="E26" s="2" t="str">
        <f>IF(ListaHermanos3[[#This Row],[AUDIO]]="SI",ListaHermanos3[[#This Row],[VARONES CONGREGACIÓN]],"")</f>
        <v>William Diaz</v>
      </c>
      <c r="F26" s="2" t="str">
        <f>IF(ListaHermanos3[[#This Row],[VIDEO]]="SI",ListaHermanos3[[#This Row],[VARONES CONGREGACIÓN]],"")</f>
        <v>William Diaz</v>
      </c>
    </row>
    <row r="27" spans="1:6" x14ac:dyDescent="0.3">
      <c r="A27" t="str">
        <f>IF(ListaHermanos3[[#This Row],[ACOMODADOR]]="SI",ListaHermanos3[[#This Row],[VARONES CONGREGACIÓN]],"")</f>
        <v>Paul García</v>
      </c>
      <c r="B27" t="str">
        <f>IF(ListaHermanos3[[#This Row],[MICRÓFONO]]="SI",ListaHermanos3[[#This Row],[VARONES CONGREGACIÓN]],"")</f>
        <v>Paul García</v>
      </c>
      <c r="C27" t="str">
        <f>IF(ListaHermanos3[[#This Row],[PRESIDENTE]]="SI",ListaHermanos3[[#This Row],[VARONES CONGREGACIÓN]],"")</f>
        <v>Paul García</v>
      </c>
      <c r="D27" t="str">
        <f>IF(ListaHermanos3[[#This Row],[LECTOR]]="SI",ListaHermanos3[[#This Row],[VARONES CONGREGACIÓN]],"")</f>
        <v/>
      </c>
      <c r="E27" s="2" t="str">
        <f>IF(ListaHermanos3[[#This Row],[AUDIO]]="SI",ListaHermanos3[[#This Row],[VARONES CONGREGACIÓN]],"")</f>
        <v>Paul García</v>
      </c>
      <c r="F27" s="2" t="str">
        <f>IF(ListaHermanos3[[#This Row],[VIDEO]]="SI",ListaHermanos3[[#This Row],[VARONES CONGREGACIÓN]],"")</f>
        <v/>
      </c>
    </row>
    <row r="28" spans="1:6" x14ac:dyDescent="0.3">
      <c r="A28" t="str">
        <f>IFERROR(IF(ListaHermanos3[[#This Row],[ACOMODADOR]]="SI",ListaHermanos3[[#This Row],[VARONES CONGREGACIÓN]],""),"")</f>
        <v/>
      </c>
      <c r="B28" t="str">
        <f>IFERROR(IF(ListaHermanos3[[#This Row],[MICRÓFONO]]="SI",ListaHermanos3[[#This Row],[VARONES CONGREGACIÓN]],""),"")</f>
        <v/>
      </c>
      <c r="C28" t="str">
        <f>IFERROR(IF(ListaHermanos3[[#This Row],[PRESIDENTE]]="SI",ListaHermanos3[[#This Row],[VARONES CONGREGACIÓN]],""),"")</f>
        <v/>
      </c>
      <c r="D28" t="str">
        <f>IFERROR(IF(ListaHermanos3[[#This Row],[LECTOR]]="SI",ListaHermanos3[[#This Row],[VARONES CONGREGACIÓN]],""),)</f>
        <v/>
      </c>
      <c r="E28" s="2" t="str">
        <f>IFERROR(IF(ListaHermanos3[[#This Row],[AUDIO]]="SI",ListaHermanos3[[#This Row],[VARONES CONGREGACIÓN]],""),"")</f>
        <v/>
      </c>
      <c r="F28" s="2" t="str">
        <f>IFERROR(IF(ListaHermanos3[[#This Row],[VIDEO]]="SI",ListaHermanos3[[#This Row],[VARONES CONGREGACIÓN]],""),"")</f>
        <v/>
      </c>
    </row>
    <row r="29" spans="1:6" x14ac:dyDescent="0.3">
      <c r="A29" t="str">
        <f>IFERROR(IF(ListaHermanos3[[#This Row],[ACOMODADOR]]="SI",ListaHermanos3[[#This Row],[VARONES CONGREGACIÓN]],""),"")</f>
        <v/>
      </c>
      <c r="B29" t="str">
        <f>IFERROR(IF(ListaHermanos3[[#This Row],[MICRÓFONO]]="SI",ListaHermanos3[[#This Row],[VARONES CONGREGACIÓN]],""),"")</f>
        <v/>
      </c>
      <c r="C29" t="str">
        <f>IFERROR(IF(ListaHermanos3[[#This Row],[PRESIDENTE]]="SI",ListaHermanos3[[#This Row],[VARONES CONGREGACIÓN]],""),"")</f>
        <v/>
      </c>
      <c r="D29" t="str">
        <f>IFERROR(IF(ListaHermanos3[[#This Row],[LECTOR]]="SI",ListaHermanos3[[#This Row],[VARONES CONGREGACIÓN]],""),)</f>
        <v/>
      </c>
      <c r="E29" s="2" t="str">
        <f>IFERROR(IF(ListaHermanos3[[#This Row],[AUDIO]]="SI",ListaHermanos3[[#This Row],[VARONES CONGREGACIÓN]],""),"")</f>
        <v/>
      </c>
      <c r="F29" s="2" t="str">
        <f>IFERROR(IF(ListaHermanos3[[#This Row],[VIDEO]]="SI",ListaHermanos3[[#This Row],[VARONES CONGREGACIÓN]],""),"")</f>
        <v/>
      </c>
    </row>
    <row r="30" spans="1:6" x14ac:dyDescent="0.3">
      <c r="A30" t="str">
        <f>IFERROR(IF(ListaHermanos3[[#This Row],[ACOMODADOR]]="SI",ListaHermanos3[[#This Row],[VARONES CONGREGACIÓN]],""),"")</f>
        <v/>
      </c>
      <c r="B30" t="str">
        <f>IFERROR(IF(ListaHermanos3[[#This Row],[MICRÓFONO]]="SI",ListaHermanos3[[#This Row],[VARONES CONGREGACIÓN]],""),"")</f>
        <v/>
      </c>
      <c r="C30" t="str">
        <f>IFERROR(IF(ListaHermanos3[[#This Row],[PRESIDENTE]]="SI",ListaHermanos3[[#This Row],[VARONES CONGREGACIÓN]],""),"")</f>
        <v/>
      </c>
      <c r="D30">
        <f>IFERROR(IF(ListaHermanos3[[#This Row],[LECTOR]]="SI",ListaHermanos3[[#This Row],[VARONES CONGREGACIÓN]],""),)</f>
        <v>0</v>
      </c>
      <c r="E30" s="2" t="str">
        <f>IFERROR(IF(ListaHermanos3[[#This Row],[AUDIO]]="SI",ListaHermanos3[[#This Row],[VARONES CONGREGACIÓN]],""),"")</f>
        <v/>
      </c>
      <c r="F30" s="2" t="str">
        <f>IFERROR(IF(ListaHermanos3[[#This Row],[VIDEO]]="SI",ListaHermanos3[[#This Row],[VARONES CONGREGACIÓN]],""),"")</f>
        <v/>
      </c>
    </row>
    <row r="31" spans="1:6" x14ac:dyDescent="0.3">
      <c r="A31" t="str">
        <f>IFERROR(IF(ListaHermanos3[[#This Row],[ACOMODADOR]]="SI",ListaHermanos3[[#This Row],[VARONES CONGREGACIÓN]],""),"")</f>
        <v/>
      </c>
      <c r="B31" t="str">
        <f>IFERROR(IF(ListaHermanos3[[#This Row],[MICRÓFONO]]="SI",ListaHermanos3[[#This Row],[VARONES CONGREGACIÓN]],""),"")</f>
        <v/>
      </c>
      <c r="C31" t="str">
        <f>IFERROR(IF(ListaHermanos3[[#This Row],[PRESIDENTE]]="SI",ListaHermanos3[[#This Row],[VARONES CONGREGACIÓN]],""),"")</f>
        <v/>
      </c>
      <c r="D31">
        <f>IFERROR(IF(ListaHermanos3[[#This Row],[LECTOR]]="SI",ListaHermanos3[[#This Row],[VARONES CONGREGACIÓN]],""),)</f>
        <v>0</v>
      </c>
      <c r="E31" s="2" t="str">
        <f>IFERROR(IF(ListaHermanos3[[#This Row],[AUDIO]]="SI",ListaHermanos3[[#This Row],[VARONES CONGREGACIÓN]],""),"")</f>
        <v/>
      </c>
      <c r="F31" s="2" t="str">
        <f>IFERROR(IF(ListaHermanos3[[#This Row],[VIDEO]]="SI",ListaHermanos3[[#This Row],[VARONES CONGREGACIÓN]],""),"")</f>
        <v/>
      </c>
    </row>
    <row r="32" spans="1:6" x14ac:dyDescent="0.3">
      <c r="A32" t="str">
        <f>IFERROR(IF(ListaHermanos3[[#This Row],[ACOMODADOR]]="SI",ListaHermanos3[[#This Row],[VARONES CONGREGACIÓN]],""),"")</f>
        <v/>
      </c>
      <c r="B32" t="str">
        <f>IFERROR(IF(ListaHermanos3[[#This Row],[MICRÓFONO]]="SI",ListaHermanos3[[#This Row],[VARONES CONGREGACIÓN]],""),"")</f>
        <v/>
      </c>
      <c r="C32" t="str">
        <f>IFERROR(IF(ListaHermanos3[[#This Row],[PRESIDENTE]]="SI",ListaHermanos3[[#This Row],[VARONES CONGREGACIÓN]],""),"")</f>
        <v/>
      </c>
      <c r="D32">
        <f>IFERROR(IF(ListaHermanos3[[#This Row],[LECTOR]]="SI",ListaHermanos3[[#This Row],[VARONES CONGREGACIÓN]],""),)</f>
        <v>0</v>
      </c>
      <c r="E32" s="2" t="str">
        <f>IFERROR(IF(ListaHermanos3[[#This Row],[AUDIO]]="SI",ListaHermanos3[[#This Row],[VARONES CONGREGACIÓN]],""),"")</f>
        <v/>
      </c>
      <c r="F32" s="2" t="str">
        <f>IFERROR(IF(ListaHermanos3[[#This Row],[VIDEO]]="SI",ListaHermanos3[[#This Row],[VARONES CONGREGACIÓN]],""),"")</f>
        <v/>
      </c>
    </row>
    <row r="33" spans="1:6" x14ac:dyDescent="0.3">
      <c r="A33" t="str">
        <f>IFERROR(IF(ListaHermanos3[[#This Row],[ACOMODADOR]]="SI",ListaHermanos3[[#This Row],[VARONES CONGREGACIÓN]],""),"")</f>
        <v/>
      </c>
      <c r="B33" t="str">
        <f>IFERROR(IF(ListaHermanos3[[#This Row],[MICRÓFONO]]="SI",ListaHermanos3[[#This Row],[VARONES CONGREGACIÓN]],""),"")</f>
        <v/>
      </c>
      <c r="C33" t="str">
        <f>IFERROR(IF(ListaHermanos3[[#This Row],[PRESIDENTE]]="SI",ListaHermanos3[[#This Row],[VARONES CONGREGACIÓN]],""),"")</f>
        <v/>
      </c>
      <c r="D33">
        <f>IFERROR(IF(ListaHermanos3[[#This Row],[LECTOR]]="SI",ListaHermanos3[[#This Row],[VARONES CONGREGACIÓN]],""),)</f>
        <v>0</v>
      </c>
      <c r="E33" s="2" t="str">
        <f>IFERROR(IF(ListaHermanos3[[#This Row],[AUDIO]]="SI",ListaHermanos3[[#This Row],[VARONES CONGREGACIÓN]],""),"")</f>
        <v/>
      </c>
      <c r="F33" s="2" t="str">
        <f>IFERROR(IF(ListaHermanos3[[#This Row],[VIDEO]]="SI",ListaHermanos3[[#This Row],[VARONES CONGREGACIÓN]],""),"")</f>
        <v/>
      </c>
    </row>
    <row r="34" spans="1:6" x14ac:dyDescent="0.3">
      <c r="A34" t="str">
        <f>IFERROR(IF(ListaHermanos3[[#This Row],[ACOMODADOR]]="SI",ListaHermanos3[[#This Row],[VARONES CONGREGACIÓN]],""),"")</f>
        <v/>
      </c>
      <c r="B34" t="str">
        <f>IFERROR(IF(ListaHermanos3[[#This Row],[MICRÓFONO]]="SI",ListaHermanos3[[#This Row],[VARONES CONGREGACIÓN]],""),"")</f>
        <v/>
      </c>
      <c r="C34" t="str">
        <f>IFERROR(IF(ListaHermanos3[[#This Row],[PRESIDENTE]]="SI",ListaHermanos3[[#This Row],[VARONES CONGREGACIÓN]],""),"")</f>
        <v/>
      </c>
      <c r="D34">
        <f>IFERROR(IF(ListaHermanos3[[#This Row],[LECTOR]]="SI",ListaHermanos3[[#This Row],[VARONES CONGREGACIÓN]],""),)</f>
        <v>0</v>
      </c>
      <c r="E34" s="2" t="str">
        <f>IFERROR(IF(ListaHermanos3[[#This Row],[AUDIO]]="SI",ListaHermanos3[[#This Row],[VARONES CONGREGACIÓN]],""),"")</f>
        <v/>
      </c>
      <c r="F34" s="2" t="str">
        <f>IFERROR(IF(ListaHermanos3[[#This Row],[VIDEO]]="SI",ListaHermanos3[[#This Row],[VARONES CONGREGACIÓN]],""),"")</f>
        <v/>
      </c>
    </row>
    <row r="35" spans="1:6" x14ac:dyDescent="0.3">
      <c r="A35" t="str">
        <f>IFERROR(IF(ListaHermanos3[[#This Row],[ACOMODADOR]]="SI",ListaHermanos3[[#This Row],[VARONES CONGREGACIÓN]],""),"")</f>
        <v/>
      </c>
      <c r="B35" t="str">
        <f>IFERROR(IF(ListaHermanos3[[#This Row],[MICRÓFONO]]="SI",ListaHermanos3[[#This Row],[VARONES CONGREGACIÓN]],""),"")</f>
        <v/>
      </c>
      <c r="C35" t="str">
        <f>IFERROR(IF(ListaHermanos3[[#This Row],[PRESIDENTE]]="SI",ListaHermanos3[[#This Row],[VARONES CONGREGACIÓN]],""),"")</f>
        <v/>
      </c>
      <c r="D35">
        <f>IFERROR(IF(ListaHermanos3[[#This Row],[LECTOR]]="SI",ListaHermanos3[[#This Row],[VARONES CONGREGACIÓN]],""),)</f>
        <v>0</v>
      </c>
      <c r="E35" s="2" t="str">
        <f>IFERROR(IF(ListaHermanos3[[#This Row],[AUDIO]]="SI",ListaHermanos3[[#This Row],[VARONES CONGREGACIÓN]],""),"")</f>
        <v/>
      </c>
      <c r="F35" s="2" t="str">
        <f>IFERROR(IF(ListaHermanos3[[#This Row],[VIDEO]]="SI",ListaHermanos3[[#This Row],[VARONES CONGREGACIÓN]],""),"")</f>
        <v/>
      </c>
    </row>
    <row r="36" spans="1:6" x14ac:dyDescent="0.3">
      <c r="A36" t="str">
        <f>IFERROR(IF(ListaHermanos3[[#This Row],[ACOMODADOR]]="SI",ListaHermanos3[[#This Row],[VARONES CONGREGACIÓN]],""),"")</f>
        <v/>
      </c>
      <c r="B36" t="str">
        <f>IFERROR(IF(ListaHermanos3[[#This Row],[MICRÓFONO]]="SI",ListaHermanos3[[#This Row],[VARONES CONGREGACIÓN]],""),"")</f>
        <v/>
      </c>
      <c r="C36" t="str">
        <f>IFERROR(IF(ListaHermanos3[[#This Row],[PRESIDENTE]]="SI",ListaHermanos3[[#This Row],[VARONES CONGREGACIÓN]],""),"")</f>
        <v/>
      </c>
      <c r="D36">
        <f>IFERROR(IF(ListaHermanos3[[#This Row],[LECTOR]]="SI",ListaHermanos3[[#This Row],[VARONES CONGREGACIÓN]],""),)</f>
        <v>0</v>
      </c>
      <c r="E36" s="2" t="str">
        <f>IFERROR(IF(ListaHermanos3[[#This Row],[AUDIO]]="SI",ListaHermanos3[[#This Row],[VARONES CONGREGACIÓN]],""),"")</f>
        <v/>
      </c>
      <c r="F36" s="2" t="str">
        <f>IFERROR(IF(ListaHermanos3[[#This Row],[VIDEO]]="SI",ListaHermanos3[[#This Row],[VARONES CONGREGACIÓN]],""),"")</f>
        <v/>
      </c>
    </row>
    <row r="38" spans="1:6" x14ac:dyDescent="0.3">
      <c r="E38" s="2"/>
      <c r="F38" s="2"/>
    </row>
  </sheetData>
  <sheetProtection deleteColumns="0"/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9"/>
  <sheetViews>
    <sheetView zoomScaleNormal="100" workbookViewId="0">
      <selection activeCell="E6" sqref="E6"/>
    </sheetView>
  </sheetViews>
  <sheetFormatPr baseColWidth="10" defaultColWidth="10.6640625" defaultRowHeight="14.4" x14ac:dyDescent="0.3"/>
  <cols>
    <col min="1" max="1" width="2.33203125" customWidth="1"/>
    <col min="2" max="5" width="18.6640625" customWidth="1"/>
    <col min="6" max="6" width="16.5546875" customWidth="1"/>
    <col min="7" max="7" width="15.88671875" customWidth="1"/>
    <col min="8" max="8" width="2.109375" customWidth="1"/>
  </cols>
  <sheetData>
    <row r="1" spans="2:7" ht="6.75" customHeight="1" x14ac:dyDescent="0.3"/>
    <row r="2" spans="2:7" x14ac:dyDescent="0.3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</row>
    <row r="3" spans="2:7" x14ac:dyDescent="0.3">
      <c r="B3" s="6" t="s">
        <v>6</v>
      </c>
      <c r="C3" s="6" t="s">
        <v>7</v>
      </c>
      <c r="D3" s="6" t="s">
        <v>8</v>
      </c>
      <c r="E3" s="6" t="s">
        <v>9</v>
      </c>
      <c r="F3" s="6" t="s">
        <v>9</v>
      </c>
      <c r="G3" s="6" t="s">
        <v>9</v>
      </c>
    </row>
    <row r="4" spans="2:7" x14ac:dyDescent="0.3"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spans="2:7" x14ac:dyDescent="0.3">
      <c r="B5" s="6" t="s">
        <v>16</v>
      </c>
      <c r="C5" s="6" t="s">
        <v>17</v>
      </c>
      <c r="D5" s="6" t="s">
        <v>18</v>
      </c>
      <c r="E5" s="6" t="s">
        <v>19</v>
      </c>
      <c r="F5" s="6" t="s">
        <v>15</v>
      </c>
      <c r="G5" s="6" t="s">
        <v>19</v>
      </c>
    </row>
    <row r="6" spans="2:7" x14ac:dyDescent="0.3">
      <c r="B6" s="6" t="s">
        <v>20</v>
      </c>
      <c r="C6" s="6" t="s">
        <v>21</v>
      </c>
      <c r="D6" s="6" t="s">
        <v>22</v>
      </c>
      <c r="E6" s="6" t="s">
        <v>8</v>
      </c>
      <c r="F6" s="6" t="s">
        <v>19</v>
      </c>
      <c r="G6" s="6" t="s">
        <v>8</v>
      </c>
    </row>
    <row r="7" spans="2:7" x14ac:dyDescent="0.3">
      <c r="B7" s="6" t="s">
        <v>23</v>
      </c>
      <c r="C7" s="6" t="s">
        <v>12</v>
      </c>
      <c r="D7" s="6" t="s">
        <v>14</v>
      </c>
      <c r="E7" s="6" t="s">
        <v>24</v>
      </c>
      <c r="F7" s="6" t="s">
        <v>8</v>
      </c>
      <c r="G7" s="6" t="s">
        <v>25</v>
      </c>
    </row>
    <row r="8" spans="2:7" x14ac:dyDescent="0.3">
      <c r="B8" s="6" t="s">
        <v>13</v>
      </c>
      <c r="C8" s="6" t="s">
        <v>26</v>
      </c>
      <c r="D8" s="6" t="s">
        <v>26</v>
      </c>
      <c r="E8" s="6" t="s">
        <v>10</v>
      </c>
      <c r="F8" s="6" t="s">
        <v>25</v>
      </c>
      <c r="G8" s="6" t="s">
        <v>6</v>
      </c>
    </row>
    <row r="9" spans="2:7" x14ac:dyDescent="0.3">
      <c r="B9" s="6" t="s">
        <v>15</v>
      </c>
      <c r="C9" s="6" t="s">
        <v>13</v>
      </c>
      <c r="D9" s="6" t="s">
        <v>13</v>
      </c>
      <c r="E9" s="6" t="s">
        <v>27</v>
      </c>
      <c r="F9" s="6" t="s">
        <v>6</v>
      </c>
      <c r="G9" s="6" t="s">
        <v>10</v>
      </c>
    </row>
    <row r="10" spans="2:7" x14ac:dyDescent="0.3">
      <c r="B10" s="6" t="s">
        <v>28</v>
      </c>
      <c r="C10" s="6" t="s">
        <v>24</v>
      </c>
      <c r="D10" s="6" t="s">
        <v>16</v>
      </c>
      <c r="E10" s="6" t="s">
        <v>20</v>
      </c>
      <c r="F10" s="6" t="s">
        <v>10</v>
      </c>
      <c r="G10" s="6" t="s">
        <v>27</v>
      </c>
    </row>
    <row r="11" spans="2:7" x14ac:dyDescent="0.3">
      <c r="B11" s="6" t="s">
        <v>12</v>
      </c>
      <c r="C11" s="6" t="s">
        <v>28</v>
      </c>
      <c r="D11" s="6" t="s">
        <v>29</v>
      </c>
      <c r="E11" s="6" t="s">
        <v>23</v>
      </c>
      <c r="F11" s="6" t="s">
        <v>27</v>
      </c>
      <c r="G11" s="6" t="s">
        <v>18</v>
      </c>
    </row>
    <row r="12" spans="2:7" x14ac:dyDescent="0.3">
      <c r="B12" s="6" t="s">
        <v>11</v>
      </c>
      <c r="C12" s="6" t="s">
        <v>23</v>
      </c>
      <c r="D12" s="6" t="s">
        <v>20</v>
      </c>
      <c r="E12" s="6" t="s">
        <v>25</v>
      </c>
      <c r="F12" s="6" t="s">
        <v>18</v>
      </c>
      <c r="G12" s="6" t="s">
        <v>30</v>
      </c>
    </row>
    <row r="13" spans="2:7" x14ac:dyDescent="0.3">
      <c r="B13" s="6" t="s">
        <v>29</v>
      </c>
      <c r="C13" s="6" t="s">
        <v>22</v>
      </c>
      <c r="D13" s="6" t="s">
        <v>24</v>
      </c>
      <c r="E13" s="6" t="s">
        <v>22</v>
      </c>
      <c r="F13" s="6" t="s">
        <v>29</v>
      </c>
      <c r="G13" s="6" t="s">
        <v>20</v>
      </c>
    </row>
    <row r="14" spans="2:7" x14ac:dyDescent="0.3">
      <c r="B14" s="6" t="s">
        <v>17</v>
      </c>
      <c r="C14" s="6" t="s">
        <v>31</v>
      </c>
      <c r="D14" s="6" t="s">
        <v>23</v>
      </c>
      <c r="E14" s="6" t="s">
        <v>29</v>
      </c>
      <c r="F14" s="6" t="s">
        <v>30</v>
      </c>
      <c r="G14" s="6"/>
    </row>
    <row r="15" spans="2:7" x14ac:dyDescent="0.3">
      <c r="B15" s="6" t="s">
        <v>14</v>
      </c>
      <c r="C15" s="6" t="s">
        <v>9</v>
      </c>
      <c r="D15" s="6" t="s">
        <v>25</v>
      </c>
      <c r="E15" s="6" t="s">
        <v>31</v>
      </c>
      <c r="F15" s="6" t="s">
        <v>16</v>
      </c>
      <c r="G15" s="6"/>
    </row>
    <row r="16" spans="2:7" x14ac:dyDescent="0.3">
      <c r="B16" s="6" t="s">
        <v>26</v>
      </c>
      <c r="C16" s="6" t="s">
        <v>14</v>
      </c>
      <c r="D16" s="6" t="s">
        <v>31</v>
      </c>
      <c r="E16" s="6" t="s">
        <v>16</v>
      </c>
      <c r="F16" s="6" t="s">
        <v>20</v>
      </c>
      <c r="G16" s="6"/>
    </row>
    <row r="17" spans="2:7" x14ac:dyDescent="0.3">
      <c r="B17" s="6" t="s">
        <v>19</v>
      </c>
      <c r="C17" s="6" t="s">
        <v>15</v>
      </c>
      <c r="D17" s="6" t="s">
        <v>10</v>
      </c>
      <c r="E17" s="6" t="s">
        <v>26</v>
      </c>
      <c r="F17" s="6"/>
      <c r="G17" s="6"/>
    </row>
    <row r="18" spans="2:7" x14ac:dyDescent="0.3">
      <c r="B18" s="6" t="s">
        <v>8</v>
      </c>
      <c r="C18" s="6" t="s">
        <v>19</v>
      </c>
      <c r="D18" s="6"/>
      <c r="E18" s="6" t="s">
        <v>28</v>
      </c>
      <c r="F18" s="6"/>
      <c r="G18" s="6"/>
    </row>
    <row r="19" spans="2:7" x14ac:dyDescent="0.3">
      <c r="B19" s="6" t="s">
        <v>25</v>
      </c>
      <c r="C19" s="6" t="s">
        <v>8</v>
      </c>
      <c r="D19" s="6"/>
      <c r="E19" s="6" t="s">
        <v>15</v>
      </c>
      <c r="F19" s="6"/>
      <c r="G19" s="6"/>
    </row>
    <row r="20" spans="2:7" x14ac:dyDescent="0.3">
      <c r="B20" s="6" t="s">
        <v>7</v>
      </c>
      <c r="C20" s="6" t="s">
        <v>25</v>
      </c>
      <c r="D20" s="6"/>
      <c r="E20" s="6"/>
      <c r="F20" s="6"/>
      <c r="G20" s="6"/>
    </row>
    <row r="21" spans="2:7" x14ac:dyDescent="0.3">
      <c r="B21" s="6" t="s">
        <v>24</v>
      </c>
      <c r="C21" s="6" t="s">
        <v>6</v>
      </c>
      <c r="D21" s="6"/>
      <c r="E21" s="6"/>
      <c r="F21" s="6"/>
      <c r="G21" s="6"/>
    </row>
    <row r="22" spans="2:7" x14ac:dyDescent="0.3">
      <c r="B22" s="6" t="s">
        <v>27</v>
      </c>
      <c r="C22" s="6" t="s">
        <v>10</v>
      </c>
      <c r="D22" s="6"/>
      <c r="E22" s="6"/>
      <c r="F22" s="6"/>
      <c r="G22" s="6"/>
    </row>
    <row r="23" spans="2:7" x14ac:dyDescent="0.3">
      <c r="B23" s="6" t="s">
        <v>18</v>
      </c>
      <c r="C23" s="6" t="s">
        <v>27</v>
      </c>
      <c r="D23" s="6"/>
      <c r="E23" s="6"/>
      <c r="F23" s="6"/>
      <c r="G23" s="6"/>
    </row>
    <row r="24" spans="2:7" x14ac:dyDescent="0.3">
      <c r="B24" s="6" t="s">
        <v>22</v>
      </c>
      <c r="C24" s="6" t="s">
        <v>18</v>
      </c>
      <c r="D24" s="6"/>
      <c r="E24" s="6"/>
      <c r="F24" s="6"/>
      <c r="G24" s="6"/>
    </row>
    <row r="25" spans="2:7" x14ac:dyDescent="0.3">
      <c r="B25" s="6" t="s">
        <v>30</v>
      </c>
      <c r="C25" s="6" t="s">
        <v>29</v>
      </c>
      <c r="D25" s="6"/>
      <c r="E25" s="6"/>
      <c r="F25" s="6"/>
      <c r="G25" s="6"/>
    </row>
    <row r="26" spans="2:7" x14ac:dyDescent="0.3">
      <c r="B26" s="6" t="s">
        <v>31</v>
      </c>
      <c r="C26" s="6" t="s">
        <v>30</v>
      </c>
      <c r="D26" s="6"/>
      <c r="E26" s="6"/>
      <c r="F26" s="6"/>
      <c r="G26" s="6"/>
    </row>
    <row r="27" spans="2:7" x14ac:dyDescent="0.3">
      <c r="B27" s="6" t="s">
        <v>21</v>
      </c>
      <c r="C27" s="6" t="s">
        <v>16</v>
      </c>
      <c r="D27" s="6"/>
      <c r="E27" s="6"/>
      <c r="F27" s="6"/>
      <c r="G27" s="6"/>
    </row>
    <row r="28" spans="2:7" x14ac:dyDescent="0.3">
      <c r="B28" s="6"/>
      <c r="C28" s="6" t="s">
        <v>20</v>
      </c>
      <c r="D28" s="6"/>
      <c r="E28" s="6"/>
      <c r="F28" s="6"/>
      <c r="G28" s="6"/>
    </row>
    <row r="29" spans="2:7" ht="6" customHeight="1" x14ac:dyDescent="0.3"/>
  </sheetData>
  <autoFilter ref="B2:G2" xr:uid="{00000000-0009-0000-0000-000001000000}"/>
  <pageMargins left="0.25" right="0.2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G2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4.4" x14ac:dyDescent="0.3"/>
  <cols>
    <col min="1" max="1" width="27.44140625" style="2" customWidth="1"/>
    <col min="2" max="2" width="14.6640625" style="2" customWidth="1"/>
    <col min="3" max="3" width="16.88671875" style="2" customWidth="1"/>
    <col min="4" max="4" width="13.88671875" style="2" customWidth="1"/>
    <col min="5" max="5" width="9.88671875" style="2" customWidth="1"/>
    <col min="6" max="6" width="9.33203125" style="2" customWidth="1"/>
    <col min="7" max="7" width="8.88671875" style="2" customWidth="1"/>
    <col min="8" max="16384" width="11.44140625" style="2"/>
  </cols>
  <sheetData>
    <row r="1" spans="1:7" x14ac:dyDescent="0.3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4</v>
      </c>
      <c r="G1" s="7" t="s">
        <v>5</v>
      </c>
    </row>
    <row r="2" spans="1:7" x14ac:dyDescent="0.3">
      <c r="A2" s="19" t="s">
        <v>9</v>
      </c>
      <c r="B2" s="2" t="s">
        <v>37</v>
      </c>
      <c r="E2" s="2" t="s">
        <v>37</v>
      </c>
      <c r="F2" s="8" t="s">
        <v>37</v>
      </c>
      <c r="G2" s="8" t="s">
        <v>37</v>
      </c>
    </row>
    <row r="3" spans="1:7" hidden="1" x14ac:dyDescent="0.3">
      <c r="A3" s="19" t="s">
        <v>14</v>
      </c>
      <c r="B3" s="2" t="s">
        <v>37</v>
      </c>
      <c r="C3" s="2" t="s">
        <v>37</v>
      </c>
      <c r="D3" s="2" t="s">
        <v>37</v>
      </c>
      <c r="F3" s="8" t="s">
        <v>37</v>
      </c>
      <c r="G3" s="8"/>
    </row>
    <row r="4" spans="1:7" x14ac:dyDescent="0.3">
      <c r="A4" s="2" t="s">
        <v>26</v>
      </c>
      <c r="B4" s="2" t="s">
        <v>37</v>
      </c>
      <c r="C4" s="2" t="s">
        <v>37</v>
      </c>
      <c r="D4" s="2" t="s">
        <v>37</v>
      </c>
      <c r="E4" s="2" t="s">
        <v>37</v>
      </c>
      <c r="F4" s="8"/>
      <c r="G4" s="8"/>
    </row>
    <row r="5" spans="1:7" hidden="1" x14ac:dyDescent="0.3">
      <c r="A5" s="2" t="s">
        <v>13</v>
      </c>
      <c r="B5" s="2" t="s">
        <v>37</v>
      </c>
      <c r="C5" s="2" t="s">
        <v>37</v>
      </c>
      <c r="D5" s="2" t="s">
        <v>37</v>
      </c>
      <c r="F5" s="8"/>
      <c r="G5" s="8"/>
    </row>
    <row r="6" spans="1:7" hidden="1" x14ac:dyDescent="0.3">
      <c r="A6" s="19" t="s">
        <v>15</v>
      </c>
      <c r="B6" s="2" t="s">
        <v>37</v>
      </c>
      <c r="C6" s="2" t="s">
        <v>37</v>
      </c>
      <c r="F6" s="8" t="s">
        <v>37</v>
      </c>
      <c r="G6" s="8" t="s">
        <v>37</v>
      </c>
    </row>
    <row r="7" spans="1:7" hidden="1" x14ac:dyDescent="0.3">
      <c r="A7" s="19" t="s">
        <v>19</v>
      </c>
      <c r="B7" s="2" t="s">
        <v>37</v>
      </c>
      <c r="C7" s="2" t="s">
        <v>37</v>
      </c>
      <c r="F7" s="8" t="s">
        <v>37</v>
      </c>
      <c r="G7" s="8" t="s">
        <v>37</v>
      </c>
    </row>
    <row r="8" spans="1:7" x14ac:dyDescent="0.3">
      <c r="A8" s="2" t="s">
        <v>8</v>
      </c>
      <c r="B8" s="2" t="s">
        <v>37</v>
      </c>
      <c r="C8" s="2" t="s">
        <v>37</v>
      </c>
      <c r="D8" s="2" t="s">
        <v>37</v>
      </c>
      <c r="E8" s="2" t="s">
        <v>37</v>
      </c>
      <c r="F8" s="8" t="s">
        <v>37</v>
      </c>
      <c r="G8" s="8" t="s">
        <v>37</v>
      </c>
    </row>
    <row r="9" spans="1:7" hidden="1" x14ac:dyDescent="0.3">
      <c r="A9" s="19" t="s">
        <v>7</v>
      </c>
      <c r="B9" s="2" t="s">
        <v>37</v>
      </c>
      <c r="C9" s="2" t="s">
        <v>37</v>
      </c>
      <c r="F9" s="8" t="s">
        <v>37</v>
      </c>
      <c r="G9" s="8"/>
    </row>
    <row r="10" spans="1:7" hidden="1" x14ac:dyDescent="0.3">
      <c r="A10" s="19" t="s">
        <v>6</v>
      </c>
      <c r="B10" s="2" t="s">
        <v>37</v>
      </c>
      <c r="C10" s="2" t="s">
        <v>37</v>
      </c>
      <c r="F10" s="8" t="s">
        <v>37</v>
      </c>
      <c r="G10" s="8" t="s">
        <v>37</v>
      </c>
    </row>
    <row r="11" spans="1:7" x14ac:dyDescent="0.3">
      <c r="A11" s="2" t="s">
        <v>24</v>
      </c>
      <c r="B11" s="2" t="s">
        <v>37</v>
      </c>
      <c r="C11" s="2" t="s">
        <v>37</v>
      </c>
      <c r="D11" s="2" t="s">
        <v>37</v>
      </c>
      <c r="E11" s="2" t="s">
        <v>37</v>
      </c>
      <c r="F11" s="8"/>
      <c r="G11" s="8"/>
    </row>
    <row r="12" spans="1:7" x14ac:dyDescent="0.3">
      <c r="A12" s="19" t="s">
        <v>28</v>
      </c>
      <c r="B12" s="2" t="s">
        <v>37</v>
      </c>
      <c r="C12" s="2" t="s">
        <v>37</v>
      </c>
      <c r="E12" s="2" t="s">
        <v>37</v>
      </c>
      <c r="F12" s="8"/>
      <c r="G12" s="8"/>
    </row>
    <row r="13" spans="1:7" hidden="1" x14ac:dyDescent="0.3">
      <c r="A13" s="2" t="s">
        <v>12</v>
      </c>
      <c r="B13" s="2" t="s">
        <v>37</v>
      </c>
      <c r="C13" s="2" t="s">
        <v>37</v>
      </c>
      <c r="D13" s="2" t="s">
        <v>37</v>
      </c>
      <c r="F13" s="8"/>
      <c r="G13" s="8"/>
    </row>
    <row r="14" spans="1:7" x14ac:dyDescent="0.3">
      <c r="A14" s="2" t="s">
        <v>23</v>
      </c>
      <c r="B14" s="2" t="s">
        <v>37</v>
      </c>
      <c r="C14" s="2" t="s">
        <v>37</v>
      </c>
      <c r="D14" s="2" t="s">
        <v>37</v>
      </c>
      <c r="E14" s="2" t="s">
        <v>37</v>
      </c>
      <c r="F14" s="8"/>
      <c r="G14" s="8"/>
    </row>
    <row r="15" spans="1:7" hidden="1" x14ac:dyDescent="0.3">
      <c r="A15" s="2" t="s">
        <v>11</v>
      </c>
      <c r="B15" s="2" t="s">
        <v>37</v>
      </c>
      <c r="C15" s="2" t="s">
        <v>37</v>
      </c>
      <c r="F15" s="8"/>
      <c r="G15" s="8"/>
    </row>
    <row r="16" spans="1:7" x14ac:dyDescent="0.3">
      <c r="A16" s="2" t="s">
        <v>10</v>
      </c>
      <c r="B16" s="2" t="s">
        <v>37</v>
      </c>
      <c r="C16" s="2" t="s">
        <v>37</v>
      </c>
      <c r="D16" s="2" t="s">
        <v>37</v>
      </c>
      <c r="E16" s="2" t="s">
        <v>37</v>
      </c>
      <c r="F16" s="8" t="s">
        <v>37</v>
      </c>
      <c r="G16" s="8" t="s">
        <v>37</v>
      </c>
    </row>
    <row r="17" spans="1:7" hidden="1" x14ac:dyDescent="0.3">
      <c r="A17" s="19" t="s">
        <v>27</v>
      </c>
      <c r="B17" s="2" t="s">
        <v>37</v>
      </c>
      <c r="C17" s="2" t="s">
        <v>37</v>
      </c>
      <c r="F17" s="8" t="s">
        <v>37</v>
      </c>
      <c r="G17" s="8" t="s">
        <v>37</v>
      </c>
    </row>
    <row r="18" spans="1:7" hidden="1" x14ac:dyDescent="0.3">
      <c r="A18" s="2" t="s">
        <v>18</v>
      </c>
      <c r="B18" s="2" t="s">
        <v>37</v>
      </c>
      <c r="C18" s="2" t="s">
        <v>37</v>
      </c>
      <c r="D18" s="2" t="s">
        <v>37</v>
      </c>
      <c r="F18" s="8" t="s">
        <v>37</v>
      </c>
      <c r="G18" s="8" t="s">
        <v>37</v>
      </c>
    </row>
    <row r="19" spans="1:7" x14ac:dyDescent="0.3">
      <c r="A19" s="19" t="s">
        <v>22</v>
      </c>
      <c r="B19" s="2" t="s">
        <v>37</v>
      </c>
      <c r="C19" s="2" t="s">
        <v>37</v>
      </c>
      <c r="D19" s="2" t="s">
        <v>37</v>
      </c>
      <c r="E19" s="2" t="s">
        <v>37</v>
      </c>
      <c r="F19" s="8"/>
      <c r="G19" s="8"/>
    </row>
    <row r="20" spans="1:7" x14ac:dyDescent="0.3">
      <c r="A20" s="2" t="s">
        <v>29</v>
      </c>
      <c r="B20" s="2" t="s">
        <v>37</v>
      </c>
      <c r="C20" s="2" t="s">
        <v>37</v>
      </c>
      <c r="D20" s="2" t="s">
        <v>37</v>
      </c>
      <c r="E20" s="2" t="s">
        <v>37</v>
      </c>
      <c r="F20" s="8" t="s">
        <v>37</v>
      </c>
      <c r="G20" s="8"/>
    </row>
    <row r="21" spans="1:7" hidden="1" x14ac:dyDescent="0.3">
      <c r="A21" s="2" t="s">
        <v>30</v>
      </c>
      <c r="B21" s="2" t="s">
        <v>37</v>
      </c>
      <c r="C21" s="2" t="s">
        <v>37</v>
      </c>
      <c r="F21" s="8" t="s">
        <v>37</v>
      </c>
      <c r="G21" s="8" t="s">
        <v>37</v>
      </c>
    </row>
    <row r="22" spans="1:7" x14ac:dyDescent="0.3">
      <c r="A22" s="2" t="s">
        <v>31</v>
      </c>
      <c r="B22" s="2" t="s">
        <v>37</v>
      </c>
      <c r="C22" s="2" t="s">
        <v>37</v>
      </c>
      <c r="D22" s="2" t="s">
        <v>37</v>
      </c>
      <c r="E22" s="2" t="s">
        <v>37</v>
      </c>
      <c r="F22" s="8"/>
      <c r="G22" s="8"/>
    </row>
    <row r="23" spans="1:7" hidden="1" x14ac:dyDescent="0.3">
      <c r="A23" s="19" t="s">
        <v>17</v>
      </c>
      <c r="B23" s="2" t="s">
        <v>37</v>
      </c>
      <c r="C23" s="2" t="s">
        <v>37</v>
      </c>
      <c r="F23" s="8"/>
      <c r="G23" s="8"/>
    </row>
    <row r="24" spans="1:7" x14ac:dyDescent="0.3">
      <c r="A24" s="19" t="s">
        <v>16</v>
      </c>
      <c r="B24" s="2" t="s">
        <v>37</v>
      </c>
      <c r="C24" s="2" t="s">
        <v>37</v>
      </c>
      <c r="D24" s="2" t="s">
        <v>37</v>
      </c>
      <c r="E24" s="2" t="s">
        <v>37</v>
      </c>
      <c r="F24" s="8" t="s">
        <v>37</v>
      </c>
      <c r="G24" s="8"/>
    </row>
    <row r="25" spans="1:7" hidden="1" x14ac:dyDescent="0.3">
      <c r="A25" s="2" t="s">
        <v>21</v>
      </c>
      <c r="B25" s="2" t="s">
        <v>37</v>
      </c>
      <c r="C25" s="2" t="s">
        <v>37</v>
      </c>
      <c r="F25" s="8"/>
      <c r="G25" s="8"/>
    </row>
    <row r="26" spans="1:7" x14ac:dyDescent="0.3">
      <c r="A26" s="2" t="s">
        <v>20</v>
      </c>
      <c r="B26" s="2" t="s">
        <v>37</v>
      </c>
      <c r="C26" s="2" t="s">
        <v>37</v>
      </c>
      <c r="D26" s="2" t="s">
        <v>37</v>
      </c>
      <c r="E26" s="2" t="s">
        <v>37</v>
      </c>
      <c r="F26" s="8" t="s">
        <v>37</v>
      </c>
      <c r="G26" s="8" t="s">
        <v>37</v>
      </c>
    </row>
    <row r="27" spans="1:7" hidden="1" x14ac:dyDescent="0.3">
      <c r="A27" s="2" t="s">
        <v>38</v>
      </c>
      <c r="B27" s="2" t="s">
        <v>37</v>
      </c>
      <c r="C27" s="2" t="s">
        <v>37</v>
      </c>
      <c r="D27" s="2" t="s">
        <v>37</v>
      </c>
      <c r="F27" s="8" t="s">
        <v>37</v>
      </c>
      <c r="G27" s="8"/>
    </row>
    <row r="28" spans="1:7" hidden="1" x14ac:dyDescent="0.3">
      <c r="A28" s="2" t="s">
        <v>39</v>
      </c>
      <c r="F28" s="8"/>
      <c r="G28" s="8"/>
    </row>
    <row r="29" spans="1:7" hidden="1" x14ac:dyDescent="0.3">
      <c r="F29" s="8"/>
      <c r="G29" s="8"/>
    </row>
  </sheetData>
  <dataValidations count="1">
    <dataValidation type="list" allowBlank="1" showInputMessage="1" showErrorMessage="1" errorTitle="SOLO VALOR &quot;SI&quot;" sqref="B2:G29" xr:uid="{00000000-0002-0000-0200-000000000000}">
      <formula1>"SI"</formula1>
      <formula2>0</formula2>
    </dataValidation>
  </dataValidations>
  <pageMargins left="0.25" right="0.25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00"/>
    <pageSetUpPr fitToPage="1"/>
  </sheetPr>
  <dimension ref="A1:J51"/>
  <sheetViews>
    <sheetView showGridLines="0" zoomScaleNormal="100" workbookViewId="0">
      <selection activeCell="C8" sqref="C8"/>
    </sheetView>
  </sheetViews>
  <sheetFormatPr baseColWidth="10" defaultColWidth="9.109375" defaultRowHeight="14.4" x14ac:dyDescent="0.3"/>
  <cols>
    <col min="1" max="1" width="4.109375" style="9" customWidth="1"/>
    <col min="2" max="2" width="21.88671875" customWidth="1"/>
    <col min="3" max="3" width="23.33203125" customWidth="1"/>
    <col min="4" max="4" width="2.33203125" customWidth="1"/>
    <col min="5" max="5" width="21.88671875" customWidth="1"/>
    <col min="6" max="6" width="23.44140625" customWidth="1"/>
    <col min="7" max="7" width="2.33203125" customWidth="1"/>
    <col min="8" max="8" width="21.88671875" customWidth="1"/>
    <col min="9" max="9" width="23.33203125" customWidth="1"/>
    <col min="10" max="10" width="4.109375" style="9" customWidth="1"/>
  </cols>
  <sheetData>
    <row r="1" spans="1:9" ht="23.25" customHeight="1" x14ac:dyDescent="0.3">
      <c r="B1" s="30" t="s">
        <v>40</v>
      </c>
      <c r="C1" s="30"/>
      <c r="D1" s="30"/>
      <c r="E1" s="30"/>
      <c r="F1" s="30"/>
      <c r="G1" s="30"/>
      <c r="H1" s="30"/>
      <c r="I1" s="30"/>
    </row>
    <row r="2" spans="1:9" ht="23.25" customHeight="1" x14ac:dyDescent="0.3">
      <c r="B2" s="30"/>
      <c r="C2" s="30"/>
      <c r="D2" s="30"/>
      <c r="E2" s="30"/>
      <c r="F2" s="30"/>
      <c r="G2" s="30"/>
      <c r="H2" s="30"/>
      <c r="I2" s="30"/>
    </row>
    <row r="3" spans="1:9" ht="23.25" customHeight="1" x14ac:dyDescent="0.3">
      <c r="B3" s="30"/>
      <c r="C3" s="30"/>
      <c r="D3" s="30"/>
      <c r="E3" s="30"/>
      <c r="F3" s="30"/>
      <c r="G3" s="30"/>
      <c r="H3" s="30"/>
      <c r="I3" s="30"/>
    </row>
    <row r="4" spans="1:9" s="11" customFormat="1" ht="18" x14ac:dyDescent="0.35">
      <c r="A4" s="10"/>
      <c r="B4" s="26" t="s">
        <v>41</v>
      </c>
      <c r="C4" s="26"/>
      <c r="E4" s="27" t="s">
        <v>42</v>
      </c>
      <c r="F4" s="27"/>
      <c r="G4" s="10"/>
      <c r="H4" s="26" t="s">
        <v>43</v>
      </c>
      <c r="I4" s="26"/>
    </row>
    <row r="5" spans="1:9" ht="15.6" x14ac:dyDescent="0.3">
      <c r="B5" s="29"/>
      <c r="C5" s="29"/>
      <c r="D5" s="12"/>
      <c r="E5" s="13" t="s">
        <v>35</v>
      </c>
      <c r="F5" s="14" t="s">
        <v>8</v>
      </c>
      <c r="G5" s="9"/>
      <c r="H5" s="29"/>
      <c r="I5" s="29"/>
    </row>
    <row r="6" spans="1:9" ht="15.6" x14ac:dyDescent="0.3">
      <c r="B6" s="29"/>
      <c r="C6" s="29"/>
      <c r="D6" s="12"/>
      <c r="E6" s="13" t="s">
        <v>44</v>
      </c>
      <c r="F6" s="14" t="s">
        <v>28</v>
      </c>
      <c r="G6" s="9"/>
      <c r="H6" s="29"/>
      <c r="I6" s="29"/>
    </row>
    <row r="7" spans="1:9" ht="18" customHeight="1" x14ac:dyDescent="0.3">
      <c r="B7" s="25" t="s">
        <v>0</v>
      </c>
      <c r="C7" s="25"/>
      <c r="D7" s="12"/>
      <c r="E7" s="25" t="s">
        <v>0</v>
      </c>
      <c r="F7" s="25"/>
      <c r="G7" s="9"/>
      <c r="H7" s="25" t="s">
        <v>0</v>
      </c>
      <c r="I7" s="25"/>
    </row>
    <row r="8" spans="1:9" ht="15.6" x14ac:dyDescent="0.3">
      <c r="B8" s="13" t="s">
        <v>45</v>
      </c>
      <c r="C8" s="14" t="s">
        <v>21</v>
      </c>
      <c r="D8" s="12"/>
      <c r="E8" s="13" t="s">
        <v>45</v>
      </c>
      <c r="F8" s="14" t="s">
        <v>22</v>
      </c>
      <c r="G8" s="9"/>
      <c r="H8" s="13" t="s">
        <v>45</v>
      </c>
      <c r="I8" s="14" t="s">
        <v>11</v>
      </c>
    </row>
    <row r="9" spans="1:9" ht="15.6" x14ac:dyDescent="0.3">
      <c r="B9" s="13" t="s">
        <v>45</v>
      </c>
      <c r="C9" s="14" t="s">
        <v>7</v>
      </c>
      <c r="D9" s="12"/>
      <c r="E9" s="13" t="s">
        <v>45</v>
      </c>
      <c r="F9" s="14" t="s">
        <v>17</v>
      </c>
      <c r="G9" s="9"/>
      <c r="H9" s="13" t="s">
        <v>45</v>
      </c>
      <c r="I9" s="14" t="s">
        <v>18</v>
      </c>
    </row>
    <row r="10" spans="1:9" ht="18" customHeight="1" x14ac:dyDescent="0.3">
      <c r="B10" s="25" t="s">
        <v>1</v>
      </c>
      <c r="C10" s="25"/>
      <c r="D10" s="12"/>
      <c r="E10" s="25" t="s">
        <v>1</v>
      </c>
      <c r="F10" s="25"/>
      <c r="G10" s="9"/>
      <c r="H10" s="25" t="s">
        <v>1</v>
      </c>
      <c r="I10" s="25"/>
    </row>
    <row r="11" spans="1:9" ht="15.6" x14ac:dyDescent="0.3">
      <c r="B11" s="13" t="s">
        <v>46</v>
      </c>
      <c r="C11" s="14" t="s">
        <v>27</v>
      </c>
      <c r="D11" s="12"/>
      <c r="E11" s="13" t="s">
        <v>46</v>
      </c>
      <c r="F11" s="14" t="s">
        <v>11</v>
      </c>
      <c r="G11" s="9"/>
      <c r="H11" s="13" t="s">
        <v>46</v>
      </c>
      <c r="I11" s="14" t="s">
        <v>14</v>
      </c>
    </row>
    <row r="12" spans="1:9" ht="15.6" x14ac:dyDescent="0.3">
      <c r="B12" s="13" t="s">
        <v>47</v>
      </c>
      <c r="C12" s="14" t="s">
        <v>48</v>
      </c>
      <c r="D12" s="12"/>
      <c r="E12" s="13" t="s">
        <v>47</v>
      </c>
      <c r="F12" s="14" t="s">
        <v>6</v>
      </c>
      <c r="G12" s="9"/>
      <c r="H12" s="13" t="s">
        <v>47</v>
      </c>
      <c r="I12" s="14" t="s">
        <v>28</v>
      </c>
    </row>
    <row r="13" spans="1:9" ht="15.6" x14ac:dyDescent="0.3">
      <c r="B13" s="13" t="s">
        <v>47</v>
      </c>
      <c r="C13" s="14" t="s">
        <v>15</v>
      </c>
      <c r="D13" s="12"/>
      <c r="E13" s="13" t="s">
        <v>47</v>
      </c>
      <c r="F13" s="14" t="s">
        <v>16</v>
      </c>
      <c r="G13" s="9"/>
      <c r="H13" s="13" t="s">
        <v>47</v>
      </c>
      <c r="I13" s="14" t="s">
        <v>16</v>
      </c>
    </row>
    <row r="14" spans="1:9" ht="18" customHeight="1" x14ac:dyDescent="0.3">
      <c r="B14" s="25" t="s">
        <v>49</v>
      </c>
      <c r="C14" s="25"/>
      <c r="D14" s="12"/>
      <c r="E14" s="25" t="s">
        <v>49</v>
      </c>
      <c r="F14" s="25"/>
      <c r="G14" s="9"/>
      <c r="H14" s="25" t="s">
        <v>49</v>
      </c>
      <c r="I14" s="25"/>
    </row>
    <row r="15" spans="1:9" ht="15.6" x14ac:dyDescent="0.3">
      <c r="B15" s="13" t="s">
        <v>4</v>
      </c>
      <c r="C15" s="14" t="s">
        <v>14</v>
      </c>
      <c r="D15" s="12"/>
      <c r="E15" s="13" t="s">
        <v>4</v>
      </c>
      <c r="F15" s="14" t="s">
        <v>30</v>
      </c>
      <c r="G15" s="9"/>
      <c r="H15" s="13" t="s">
        <v>4</v>
      </c>
      <c r="I15" s="14" t="s">
        <v>6</v>
      </c>
    </row>
    <row r="16" spans="1:9" ht="15.6" x14ac:dyDescent="0.3">
      <c r="B16" s="13" t="s">
        <v>50</v>
      </c>
      <c r="C16" s="14" t="s">
        <v>18</v>
      </c>
      <c r="D16" s="12"/>
      <c r="E16" s="13" t="s">
        <v>50</v>
      </c>
      <c r="F16" s="14" t="s">
        <v>10</v>
      </c>
      <c r="G16" s="9"/>
      <c r="H16" s="13" t="s">
        <v>50</v>
      </c>
      <c r="I16" s="14" t="s">
        <v>20</v>
      </c>
    </row>
    <row r="17" spans="1:10" ht="18" customHeight="1" x14ac:dyDescent="0.3">
      <c r="B17" s="25" t="s">
        <v>51</v>
      </c>
      <c r="C17" s="25"/>
      <c r="D17" s="12"/>
      <c r="E17" s="15" t="s">
        <v>52</v>
      </c>
      <c r="F17" s="16" t="s">
        <v>53</v>
      </c>
      <c r="G17" s="9"/>
      <c r="H17" s="25" t="s">
        <v>51</v>
      </c>
      <c r="I17" s="25"/>
    </row>
    <row r="18" spans="1:10" ht="18" customHeight="1" x14ac:dyDescent="0.3">
      <c r="B18" s="17" t="s">
        <v>54</v>
      </c>
      <c r="C18" s="18" t="s">
        <v>53</v>
      </c>
      <c r="D18" s="12"/>
      <c r="E18" s="15" t="s">
        <v>55</v>
      </c>
      <c r="F18" s="16" t="s">
        <v>56</v>
      </c>
      <c r="G18" s="9"/>
      <c r="H18" s="17" t="s">
        <v>54</v>
      </c>
      <c r="I18" s="18" t="s">
        <v>57</v>
      </c>
    </row>
    <row r="19" spans="1:10" ht="15.6" x14ac:dyDescent="0.3">
      <c r="B19" s="12"/>
      <c r="C19" s="12"/>
      <c r="D19" s="12"/>
      <c r="E19" s="12"/>
      <c r="F19" s="12"/>
      <c r="G19" s="12"/>
      <c r="H19" s="12"/>
      <c r="I19" s="12"/>
    </row>
    <row r="20" spans="1:10" s="11" customFormat="1" ht="18" x14ac:dyDescent="0.35">
      <c r="A20" s="10"/>
      <c r="B20" s="27" t="s">
        <v>58</v>
      </c>
      <c r="C20" s="27"/>
      <c r="E20" s="26" t="s">
        <v>59</v>
      </c>
      <c r="F20" s="26"/>
      <c r="H20" s="27" t="s">
        <v>60</v>
      </c>
      <c r="I20" s="27"/>
      <c r="J20" s="10"/>
    </row>
    <row r="21" spans="1:10" ht="15.6" x14ac:dyDescent="0.3">
      <c r="B21" s="13" t="s">
        <v>35</v>
      </c>
      <c r="C21" s="14" t="s">
        <v>29</v>
      </c>
      <c r="D21" s="12"/>
      <c r="E21" s="29"/>
      <c r="F21" s="29"/>
      <c r="G21" s="12"/>
      <c r="H21" s="13" t="s">
        <v>35</v>
      </c>
      <c r="I21" s="14" t="s">
        <v>12</v>
      </c>
    </row>
    <row r="22" spans="1:10" ht="15.6" x14ac:dyDescent="0.3">
      <c r="B22" s="13" t="s">
        <v>61</v>
      </c>
      <c r="C22" s="14" t="s">
        <v>9</v>
      </c>
      <c r="D22" s="12"/>
      <c r="E22" s="29"/>
      <c r="F22" s="29"/>
      <c r="G22" s="12"/>
      <c r="H22" s="13" t="s">
        <v>61</v>
      </c>
      <c r="I22" s="14" t="s">
        <v>16</v>
      </c>
    </row>
    <row r="23" spans="1:10" ht="18" customHeight="1" x14ac:dyDescent="0.3">
      <c r="B23" s="25" t="s">
        <v>0</v>
      </c>
      <c r="C23" s="25"/>
      <c r="D23" s="12"/>
      <c r="E23" s="25" t="s">
        <v>0</v>
      </c>
      <c r="F23" s="25"/>
      <c r="G23" s="12"/>
      <c r="H23" s="25" t="s">
        <v>0</v>
      </c>
      <c r="I23" s="25"/>
    </row>
    <row r="24" spans="1:10" ht="15.6" x14ac:dyDescent="0.3">
      <c r="B24" s="13" t="s">
        <v>45</v>
      </c>
      <c r="C24" s="14" t="s">
        <v>14</v>
      </c>
      <c r="D24" s="12"/>
      <c r="E24" s="13" t="s">
        <v>45</v>
      </c>
      <c r="F24" s="14" t="s">
        <v>6</v>
      </c>
      <c r="G24" s="12"/>
      <c r="H24" s="13" t="s">
        <v>45</v>
      </c>
      <c r="I24" s="14" t="s">
        <v>22</v>
      </c>
    </row>
    <row r="25" spans="1:10" ht="15.6" x14ac:dyDescent="0.3">
      <c r="B25" s="13" t="s">
        <v>45</v>
      </c>
      <c r="C25" s="14" t="s">
        <v>11</v>
      </c>
      <c r="D25" s="12"/>
      <c r="E25" s="13" t="s">
        <v>45</v>
      </c>
      <c r="F25" s="14" t="s">
        <v>16</v>
      </c>
      <c r="G25" s="12"/>
      <c r="H25" s="13" t="s">
        <v>45</v>
      </c>
      <c r="I25" s="14" t="s">
        <v>17</v>
      </c>
    </row>
    <row r="26" spans="1:10" ht="18" customHeight="1" x14ac:dyDescent="0.3">
      <c r="B26" s="25" t="s">
        <v>1</v>
      </c>
      <c r="C26" s="25"/>
      <c r="D26" s="12"/>
      <c r="E26" s="25" t="s">
        <v>1</v>
      </c>
      <c r="F26" s="25"/>
      <c r="G26" s="12"/>
      <c r="H26" s="25" t="s">
        <v>1</v>
      </c>
      <c r="I26" s="25"/>
    </row>
    <row r="27" spans="1:10" ht="15.6" x14ac:dyDescent="0.3">
      <c r="B27" s="13" t="s">
        <v>46</v>
      </c>
      <c r="C27" s="14" t="s">
        <v>22</v>
      </c>
      <c r="D27" s="12"/>
      <c r="E27" s="13" t="s">
        <v>46</v>
      </c>
      <c r="F27" s="14" t="s">
        <v>18</v>
      </c>
      <c r="G27" s="12"/>
      <c r="H27" s="13" t="s">
        <v>46</v>
      </c>
      <c r="I27" s="14" t="s">
        <v>7</v>
      </c>
    </row>
    <row r="28" spans="1:10" ht="15.6" x14ac:dyDescent="0.3">
      <c r="B28" s="13" t="s">
        <v>47</v>
      </c>
      <c r="C28" s="14" t="s">
        <v>17</v>
      </c>
      <c r="D28" s="12"/>
      <c r="E28" s="13" t="s">
        <v>47</v>
      </c>
      <c r="F28" s="14" t="s">
        <v>9</v>
      </c>
      <c r="G28" s="12"/>
      <c r="H28" s="13" t="s">
        <v>47</v>
      </c>
      <c r="I28" s="14" t="s">
        <v>18</v>
      </c>
    </row>
    <row r="29" spans="1:10" ht="15.6" x14ac:dyDescent="0.3">
      <c r="B29" s="13" t="s">
        <v>47</v>
      </c>
      <c r="C29" s="14" t="s">
        <v>39</v>
      </c>
      <c r="D29" s="12"/>
      <c r="E29" s="13" t="s">
        <v>47</v>
      </c>
      <c r="F29" s="14" t="s">
        <v>30</v>
      </c>
      <c r="G29" s="12"/>
      <c r="H29" s="13" t="s">
        <v>47</v>
      </c>
      <c r="I29" s="14" t="s">
        <v>48</v>
      </c>
    </row>
    <row r="30" spans="1:10" ht="18" customHeight="1" x14ac:dyDescent="0.3">
      <c r="B30" s="25" t="s">
        <v>49</v>
      </c>
      <c r="C30" s="25"/>
      <c r="D30" s="12"/>
      <c r="E30" s="25" t="s">
        <v>49</v>
      </c>
      <c r="F30" s="25"/>
      <c r="G30" s="12"/>
      <c r="H30" s="25" t="s">
        <v>49</v>
      </c>
      <c r="I30" s="25"/>
    </row>
    <row r="31" spans="1:10" ht="15.6" x14ac:dyDescent="0.3">
      <c r="B31" s="13" t="s">
        <v>4</v>
      </c>
      <c r="C31" s="14" t="s">
        <v>27</v>
      </c>
      <c r="D31" s="12"/>
      <c r="E31" s="13" t="s">
        <v>4</v>
      </c>
      <c r="F31" s="14" t="s">
        <v>48</v>
      </c>
      <c r="G31" s="12"/>
      <c r="H31" s="13" t="s">
        <v>4</v>
      </c>
      <c r="I31" s="14" t="s">
        <v>10</v>
      </c>
    </row>
    <row r="32" spans="1:10" ht="15.6" x14ac:dyDescent="0.3">
      <c r="B32" s="13" t="s">
        <v>50</v>
      </c>
      <c r="C32" s="14" t="s">
        <v>15</v>
      </c>
      <c r="D32" s="12"/>
      <c r="E32" s="13" t="s">
        <v>50</v>
      </c>
      <c r="F32" s="14" t="s">
        <v>10</v>
      </c>
      <c r="G32" s="12"/>
      <c r="H32" s="13" t="s">
        <v>50</v>
      </c>
      <c r="I32" s="14" t="s">
        <v>20</v>
      </c>
    </row>
    <row r="33" spans="1:10" ht="18" customHeight="1" x14ac:dyDescent="0.3">
      <c r="B33" s="15" t="s">
        <v>52</v>
      </c>
      <c r="C33" s="16" t="s">
        <v>57</v>
      </c>
      <c r="D33" s="12"/>
      <c r="E33" s="25" t="s">
        <v>51</v>
      </c>
      <c r="F33" s="25"/>
      <c r="G33" s="12"/>
      <c r="H33" s="15" t="s">
        <v>52</v>
      </c>
      <c r="I33" s="16" t="s">
        <v>62</v>
      </c>
    </row>
    <row r="34" spans="1:10" ht="15.6" x14ac:dyDescent="0.3">
      <c r="B34" s="15" t="s">
        <v>55</v>
      </c>
      <c r="C34" s="16">
        <v>5</v>
      </c>
      <c r="D34" s="12"/>
      <c r="E34" s="17" t="s">
        <v>54</v>
      </c>
      <c r="F34" s="18" t="s">
        <v>62</v>
      </c>
      <c r="G34" s="12"/>
      <c r="H34" s="15" t="s">
        <v>55</v>
      </c>
      <c r="I34" s="16" t="s">
        <v>63</v>
      </c>
    </row>
    <row r="35" spans="1:10" ht="15.6" x14ac:dyDescent="0.3">
      <c r="B35" s="12"/>
      <c r="C35" s="12"/>
      <c r="D35" s="12"/>
      <c r="E35" s="12"/>
      <c r="F35" s="12"/>
      <c r="G35" s="12"/>
      <c r="H35" s="12"/>
      <c r="I35" s="12"/>
    </row>
    <row r="36" spans="1:10" s="11" customFormat="1" ht="17.399999999999999" customHeight="1" x14ac:dyDescent="0.35">
      <c r="A36" s="10"/>
      <c r="B36" s="26" t="s">
        <v>64</v>
      </c>
      <c r="C36" s="26"/>
      <c r="E36" s="27" t="s">
        <v>65</v>
      </c>
      <c r="F36" s="27"/>
      <c r="H36" s="28" t="s">
        <v>66</v>
      </c>
      <c r="I36" s="28"/>
      <c r="J36" s="10"/>
    </row>
    <row r="37" spans="1:10" ht="15.6" x14ac:dyDescent="0.3">
      <c r="B37" s="29"/>
      <c r="C37" s="29"/>
      <c r="D37" s="12"/>
      <c r="E37" s="13" t="s">
        <v>35</v>
      </c>
      <c r="F37" s="14" t="s">
        <v>24</v>
      </c>
      <c r="G37" s="12"/>
      <c r="H37" s="28"/>
      <c r="I37" s="28"/>
    </row>
    <row r="38" spans="1:10" ht="15.6" x14ac:dyDescent="0.3">
      <c r="B38" s="29"/>
      <c r="C38" s="29"/>
      <c r="D38" s="12"/>
      <c r="E38" s="13" t="s">
        <v>61</v>
      </c>
      <c r="F38" s="14" t="s">
        <v>23</v>
      </c>
      <c r="G38" s="12"/>
      <c r="H38" s="28"/>
      <c r="I38" s="28"/>
    </row>
    <row r="39" spans="1:10" ht="18" customHeight="1" x14ac:dyDescent="0.3">
      <c r="B39" s="25" t="s">
        <v>0</v>
      </c>
      <c r="C39" s="25"/>
      <c r="D39" s="12"/>
      <c r="E39" s="25" t="s">
        <v>0</v>
      </c>
      <c r="F39" s="25"/>
      <c r="G39" s="12"/>
      <c r="H39" s="28"/>
      <c r="I39" s="28"/>
    </row>
    <row r="40" spans="1:10" ht="15.6" x14ac:dyDescent="0.3">
      <c r="B40" s="13" t="s">
        <v>45</v>
      </c>
      <c r="C40" s="14" t="s">
        <v>15</v>
      </c>
      <c r="D40" s="12"/>
      <c r="E40" s="13" t="s">
        <v>45</v>
      </c>
      <c r="F40" s="14" t="s">
        <v>21</v>
      </c>
      <c r="G40" s="12"/>
      <c r="H40" s="28"/>
      <c r="I40" s="28"/>
    </row>
    <row r="41" spans="1:10" ht="15.6" x14ac:dyDescent="0.3">
      <c r="B41" s="13" t="s">
        <v>45</v>
      </c>
      <c r="C41" s="14" t="s">
        <v>7</v>
      </c>
      <c r="D41" s="12"/>
      <c r="E41" s="13" t="s">
        <v>45</v>
      </c>
      <c r="F41" s="14" t="s">
        <v>9</v>
      </c>
      <c r="G41" s="12"/>
      <c r="H41" s="28"/>
      <c r="I41" s="28"/>
    </row>
    <row r="42" spans="1:10" ht="18" customHeight="1" x14ac:dyDescent="0.3">
      <c r="B42" s="25" t="s">
        <v>1</v>
      </c>
      <c r="C42" s="25"/>
      <c r="D42" s="12"/>
      <c r="E42" s="25" t="s">
        <v>1</v>
      </c>
      <c r="F42" s="25"/>
      <c r="G42" s="12"/>
      <c r="H42" s="28"/>
      <c r="I42" s="28"/>
    </row>
    <row r="43" spans="1:10" ht="15.6" x14ac:dyDescent="0.3">
      <c r="B43" s="13" t="s">
        <v>46</v>
      </c>
      <c r="C43" s="14" t="s">
        <v>22</v>
      </c>
      <c r="D43" s="12"/>
      <c r="E43" s="13" t="s">
        <v>46</v>
      </c>
      <c r="F43" s="14" t="s">
        <v>17</v>
      </c>
      <c r="G43" s="12"/>
      <c r="H43" s="28"/>
      <c r="I43" s="28"/>
    </row>
    <row r="44" spans="1:10" ht="15.6" x14ac:dyDescent="0.3">
      <c r="B44" s="13" t="s">
        <v>47</v>
      </c>
      <c r="C44" s="14" t="s">
        <v>17</v>
      </c>
      <c r="D44" s="12"/>
      <c r="E44" s="13" t="s">
        <v>47</v>
      </c>
      <c r="F44" s="14" t="s">
        <v>22</v>
      </c>
      <c r="G44" s="12"/>
      <c r="H44" s="28"/>
      <c r="I44" s="28"/>
    </row>
    <row r="45" spans="1:10" ht="15.6" x14ac:dyDescent="0.3">
      <c r="B45" s="13" t="s">
        <v>47</v>
      </c>
      <c r="C45" s="14" t="s">
        <v>9</v>
      </c>
      <c r="D45" s="12"/>
      <c r="E45" s="13" t="s">
        <v>47</v>
      </c>
      <c r="F45" s="14" t="s">
        <v>7</v>
      </c>
      <c r="G45" s="12"/>
      <c r="H45" s="28"/>
      <c r="I45" s="28"/>
    </row>
    <row r="46" spans="1:10" ht="18" customHeight="1" x14ac:dyDescent="0.3">
      <c r="B46" s="25" t="s">
        <v>49</v>
      </c>
      <c r="C46" s="25"/>
      <c r="D46" s="12"/>
      <c r="E46" s="25" t="s">
        <v>49</v>
      </c>
      <c r="F46" s="25"/>
      <c r="G46" s="12"/>
      <c r="H46" s="28"/>
      <c r="I46" s="28"/>
    </row>
    <row r="47" spans="1:10" ht="15.6" x14ac:dyDescent="0.3">
      <c r="B47" s="13" t="s">
        <v>4</v>
      </c>
      <c r="C47" s="14" t="s">
        <v>6</v>
      </c>
      <c r="D47" s="12"/>
      <c r="E47" s="13" t="s">
        <v>4</v>
      </c>
      <c r="F47" s="14" t="s">
        <v>30</v>
      </c>
      <c r="G47" s="12"/>
      <c r="H47" s="28"/>
      <c r="I47" s="28"/>
    </row>
    <row r="48" spans="1:10" ht="15.6" x14ac:dyDescent="0.3">
      <c r="B48" s="13" t="s">
        <v>50</v>
      </c>
      <c r="C48" s="14" t="s">
        <v>27</v>
      </c>
      <c r="D48" s="12"/>
      <c r="E48" s="13" t="s">
        <v>50</v>
      </c>
      <c r="F48" s="14" t="s">
        <v>8</v>
      </c>
      <c r="G48" s="12"/>
      <c r="H48" s="28"/>
      <c r="I48" s="28"/>
    </row>
    <row r="49" spans="2:9" ht="18" customHeight="1" x14ac:dyDescent="0.3">
      <c r="B49" s="25" t="s">
        <v>51</v>
      </c>
      <c r="C49" s="25"/>
      <c r="D49" s="12"/>
      <c r="E49" s="15" t="s">
        <v>52</v>
      </c>
      <c r="F49" s="16" t="s">
        <v>67</v>
      </c>
      <c r="G49" s="12"/>
      <c r="H49" s="28"/>
      <c r="I49" s="28"/>
    </row>
    <row r="50" spans="2:9" ht="15.6" x14ac:dyDescent="0.3">
      <c r="B50" s="17" t="s">
        <v>54</v>
      </c>
      <c r="C50" s="18" t="s">
        <v>68</v>
      </c>
      <c r="D50" s="12"/>
      <c r="E50" s="15" t="s">
        <v>55</v>
      </c>
      <c r="F50" s="16">
        <v>7</v>
      </c>
      <c r="G50" s="12"/>
      <c r="H50" s="28"/>
      <c r="I50" s="28"/>
    </row>
    <row r="51" spans="2:9" ht="15.6" x14ac:dyDescent="0.3">
      <c r="B51" s="12"/>
      <c r="C51" s="12"/>
      <c r="D51" s="12"/>
      <c r="E51" s="12"/>
      <c r="F51" s="12"/>
      <c r="G51" s="12"/>
      <c r="H51" s="12"/>
      <c r="I51" s="12"/>
    </row>
  </sheetData>
  <mergeCells count="42">
    <mergeCell ref="B1:I3"/>
    <mergeCell ref="B4:C4"/>
    <mergeCell ref="E4:F4"/>
    <mergeCell ref="H4:I4"/>
    <mergeCell ref="B5:C6"/>
    <mergeCell ref="H5:I6"/>
    <mergeCell ref="B7:C7"/>
    <mergeCell ref="E7:F7"/>
    <mergeCell ref="H7:I7"/>
    <mergeCell ref="B10:C10"/>
    <mergeCell ref="E10:F10"/>
    <mergeCell ref="H10:I10"/>
    <mergeCell ref="B14:C14"/>
    <mergeCell ref="E14:F14"/>
    <mergeCell ref="H14:I14"/>
    <mergeCell ref="B17:C17"/>
    <mergeCell ref="H17:I17"/>
    <mergeCell ref="B20:C20"/>
    <mergeCell ref="E20:F20"/>
    <mergeCell ref="H20:I20"/>
    <mergeCell ref="E21:F22"/>
    <mergeCell ref="B23:C23"/>
    <mergeCell ref="E23:F23"/>
    <mergeCell ref="H23:I23"/>
    <mergeCell ref="B26:C26"/>
    <mergeCell ref="E26:F26"/>
    <mergeCell ref="H26:I26"/>
    <mergeCell ref="B30:C30"/>
    <mergeCell ref="E30:F30"/>
    <mergeCell ref="H30:I30"/>
    <mergeCell ref="E33:F33"/>
    <mergeCell ref="B36:C36"/>
    <mergeCell ref="E36:F36"/>
    <mergeCell ref="H36:I50"/>
    <mergeCell ref="B37:C38"/>
    <mergeCell ref="B39:C39"/>
    <mergeCell ref="E39:F39"/>
    <mergeCell ref="B42:C42"/>
    <mergeCell ref="E42:F42"/>
    <mergeCell ref="B46:C46"/>
    <mergeCell ref="E46:F46"/>
    <mergeCell ref="B49:C49"/>
  </mergeCells>
  <dataValidations count="1">
    <dataValidation type="list" allowBlank="1" showInputMessage="1" showErrorMessage="1" sqref="F5:F6 C8:C9 F8:F9 I8:I9 C11:C13 F11:F13 I11:I13 C15:C16 F15:F16 I15:I16 C21:C22 C24:C25 F24:F25 C27:C29 F27:F29 C31:C32 F31:F32 F37:F38 F40:F41 F43:F45 F47:F48" xr:uid="{00000000-0002-0000-0300-000000000000}">
      <formula1>INDIRECT("ListaHermanos[LISTA HERMANOS]")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'Listados No tocar'!$A$2:$A$24</xm:f>
          </x14:formula1>
          <x14:formula2>
            <xm:f>0</xm:f>
          </x14:formula2>
          <xm:sqref>I21:I22 I24:I25 I27:I29 I31:I32 C40:C41 C43:C45 C47:C48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  <pageSetUpPr fitToPage="1"/>
  </sheetPr>
  <dimension ref="A1:P31"/>
  <sheetViews>
    <sheetView showGridLines="0" zoomScaleNormal="100" workbookViewId="0">
      <selection activeCell="B8" sqref="B8:C8"/>
    </sheetView>
  </sheetViews>
  <sheetFormatPr baseColWidth="10" defaultColWidth="9.109375" defaultRowHeight="14.4" x14ac:dyDescent="0.3"/>
  <cols>
    <col min="1" max="1" width="3" style="9" customWidth="1"/>
    <col min="2" max="2" width="14" customWidth="1"/>
    <col min="3" max="3" width="8" customWidth="1"/>
    <col min="4" max="4" width="10.6640625" customWidth="1"/>
    <col min="5" max="5" width="9" customWidth="1"/>
    <col min="6" max="6" width="6.33203125" customWidth="1"/>
    <col min="7" max="7" width="1.44140625" customWidth="1"/>
    <col min="8" max="8" width="10.5546875" customWidth="1"/>
    <col min="9" max="9" width="11.6640625" style="9" customWidth="1"/>
    <col min="10" max="10" width="13.6640625" customWidth="1"/>
    <col min="11" max="11" width="10" customWidth="1"/>
    <col min="12" max="12" width="7.6640625" customWidth="1"/>
    <col min="13" max="13" width="8.44140625" customWidth="1"/>
    <col min="16" max="16" width="18.33203125" customWidth="1"/>
  </cols>
  <sheetData>
    <row r="1" spans="2:16" ht="23.25" customHeight="1" x14ac:dyDescent="0.3">
      <c r="B1" s="31"/>
      <c r="C1" s="31"/>
      <c r="D1" s="31"/>
      <c r="E1" s="31"/>
      <c r="F1" s="31"/>
      <c r="G1" s="31"/>
      <c r="H1" s="31"/>
    </row>
    <row r="2" spans="2:16" ht="23.25" customHeight="1" x14ac:dyDescent="0.3">
      <c r="B2" s="31"/>
      <c r="C2" s="31"/>
      <c r="D2" s="31"/>
      <c r="E2" s="31"/>
      <c r="F2" s="31"/>
      <c r="G2" s="31"/>
      <c r="H2" s="31"/>
    </row>
    <row r="3" spans="2:16" ht="23.25" customHeight="1" x14ac:dyDescent="0.3">
      <c r="B3" s="31"/>
      <c r="C3" s="31"/>
      <c r="D3" s="31"/>
      <c r="E3" s="31"/>
      <c r="F3" s="31"/>
      <c r="G3" s="31"/>
      <c r="H3" s="31"/>
    </row>
    <row r="4" spans="2:16" s="9" customFormat="1" ht="15.6" x14ac:dyDescent="0.3">
      <c r="B4" s="12"/>
      <c r="C4" s="12"/>
      <c r="D4" s="12"/>
      <c r="E4" s="12"/>
      <c r="F4" s="12"/>
      <c r="G4" s="12"/>
      <c r="H4" s="12"/>
    </row>
    <row r="6" spans="2:16" x14ac:dyDescent="0.3">
      <c r="B6" s="43" t="s">
        <v>69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5"/>
    </row>
    <row r="7" spans="2:16" x14ac:dyDescent="0.3">
      <c r="B7" s="39" t="s">
        <v>46</v>
      </c>
      <c r="C7" s="40"/>
      <c r="D7" s="41" t="s">
        <v>4</v>
      </c>
      <c r="E7" s="42"/>
      <c r="F7" s="40"/>
      <c r="G7" s="41" t="s">
        <v>5</v>
      </c>
      <c r="H7" s="42"/>
      <c r="I7" s="40"/>
      <c r="J7" s="41" t="s">
        <v>70</v>
      </c>
      <c r="K7" s="42"/>
      <c r="L7" s="42"/>
      <c r="M7" s="40"/>
      <c r="N7" s="41" t="s">
        <v>71</v>
      </c>
      <c r="O7" s="40"/>
      <c r="P7" s="20" t="s">
        <v>72</v>
      </c>
    </row>
    <row r="8" spans="2:16" ht="15.6" x14ac:dyDescent="0.3">
      <c r="B8" s="61" t="s">
        <v>6</v>
      </c>
      <c r="C8" s="33"/>
      <c r="D8" s="62" t="s">
        <v>8</v>
      </c>
      <c r="E8" s="38"/>
      <c r="F8" s="33"/>
      <c r="G8" s="62" t="s">
        <v>73</v>
      </c>
      <c r="H8" s="38"/>
      <c r="I8" s="33"/>
      <c r="J8" s="62" t="s">
        <v>28</v>
      </c>
      <c r="K8" s="33"/>
      <c r="L8" s="62" t="s">
        <v>12</v>
      </c>
      <c r="M8" s="33"/>
      <c r="N8" s="46" t="s">
        <v>17</v>
      </c>
      <c r="O8" s="47"/>
      <c r="P8" s="21" t="s">
        <v>7</v>
      </c>
    </row>
    <row r="9" spans="2:16" ht="15" thickBot="1" x14ac:dyDescent="0.35">
      <c r="B9" s="39" t="s">
        <v>74</v>
      </c>
      <c r="C9" s="40"/>
      <c r="D9" s="41" t="s">
        <v>61</v>
      </c>
      <c r="E9" s="42"/>
      <c r="F9" s="40"/>
      <c r="G9" s="41" t="s">
        <v>52</v>
      </c>
      <c r="H9" s="42"/>
      <c r="I9" s="40"/>
      <c r="J9" s="48" t="s">
        <v>55</v>
      </c>
      <c r="K9" s="49"/>
      <c r="L9" s="49"/>
      <c r="M9" s="50" t="s">
        <v>75</v>
      </c>
      <c r="N9" s="51"/>
      <c r="O9" s="51"/>
      <c r="P9" s="52"/>
    </row>
    <row r="10" spans="2:16" ht="16.2" thickBot="1" x14ac:dyDescent="0.35">
      <c r="B10" s="56" t="s">
        <v>25</v>
      </c>
      <c r="C10" s="57"/>
      <c r="D10" s="58" t="s">
        <v>26</v>
      </c>
      <c r="E10" s="59"/>
      <c r="F10" s="57"/>
      <c r="G10" s="60" t="s">
        <v>76</v>
      </c>
      <c r="H10" s="59"/>
      <c r="I10" s="57"/>
      <c r="J10" s="58" t="s">
        <v>77</v>
      </c>
      <c r="K10" s="59"/>
      <c r="L10" s="57"/>
      <c r="M10" s="53"/>
      <c r="N10" s="54"/>
      <c r="O10" s="54"/>
      <c r="P10" s="55"/>
    </row>
    <row r="13" spans="2:16" ht="21" x14ac:dyDescent="0.3">
      <c r="B13" s="34" t="s">
        <v>78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</row>
    <row r="14" spans="2:16" x14ac:dyDescent="0.3">
      <c r="B14" s="32" t="s">
        <v>46</v>
      </c>
      <c r="C14" s="33"/>
      <c r="D14" s="37" t="s">
        <v>4</v>
      </c>
      <c r="E14" s="38"/>
      <c r="F14" s="33"/>
      <c r="G14" s="37" t="s">
        <v>5</v>
      </c>
      <c r="H14" s="38"/>
      <c r="I14" s="33"/>
      <c r="J14" s="37" t="s">
        <v>70</v>
      </c>
      <c r="K14" s="38"/>
      <c r="L14" s="38"/>
      <c r="M14" s="33"/>
      <c r="N14" s="37" t="s">
        <v>71</v>
      </c>
      <c r="O14" s="33"/>
      <c r="P14" s="22" t="s">
        <v>72</v>
      </c>
    </row>
    <row r="15" spans="2:16" ht="15.6" x14ac:dyDescent="0.3">
      <c r="B15" s="61" t="s">
        <v>7</v>
      </c>
      <c r="C15" s="33"/>
      <c r="D15" s="62" t="s">
        <v>14</v>
      </c>
      <c r="E15" s="38"/>
      <c r="F15" s="33"/>
      <c r="G15" s="62" t="s">
        <v>9</v>
      </c>
      <c r="H15" s="38"/>
      <c r="I15" s="33"/>
      <c r="J15" s="62" t="s">
        <v>23</v>
      </c>
      <c r="K15" s="33"/>
      <c r="L15" s="62" t="s">
        <v>10</v>
      </c>
      <c r="M15" s="33"/>
      <c r="N15" s="46" t="s">
        <v>79</v>
      </c>
      <c r="O15" s="47"/>
      <c r="P15" s="21" t="s">
        <v>15</v>
      </c>
    </row>
    <row r="16" spans="2:16" ht="15" thickBot="1" x14ac:dyDescent="0.35">
      <c r="B16" s="39" t="s">
        <v>74</v>
      </c>
      <c r="C16" s="40"/>
      <c r="D16" s="41" t="s">
        <v>61</v>
      </c>
      <c r="E16" s="42"/>
      <c r="F16" s="40"/>
      <c r="G16" s="41" t="s">
        <v>52</v>
      </c>
      <c r="H16" s="42"/>
      <c r="I16" s="40"/>
      <c r="J16" s="48" t="s">
        <v>55</v>
      </c>
      <c r="K16" s="49"/>
      <c r="L16" s="49"/>
      <c r="M16" s="50" t="s">
        <v>75</v>
      </c>
      <c r="N16" s="51"/>
      <c r="O16" s="51"/>
      <c r="P16" s="52"/>
    </row>
    <row r="17" spans="2:16" ht="16.2" thickBot="1" x14ac:dyDescent="0.35">
      <c r="B17" s="56" t="s">
        <v>29</v>
      </c>
      <c r="C17" s="57"/>
      <c r="D17" s="58" t="s">
        <v>8</v>
      </c>
      <c r="E17" s="59"/>
      <c r="F17" s="57"/>
      <c r="G17" s="60" t="s">
        <v>80</v>
      </c>
      <c r="H17" s="59"/>
      <c r="I17" s="57"/>
      <c r="J17" s="58" t="s">
        <v>81</v>
      </c>
      <c r="K17" s="59"/>
      <c r="L17" s="57"/>
      <c r="M17" s="53"/>
      <c r="N17" s="54"/>
      <c r="O17" s="54"/>
      <c r="P17" s="55"/>
    </row>
    <row r="20" spans="2:16" ht="21" x14ac:dyDescent="0.3">
      <c r="B20" s="34" t="s">
        <v>82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</row>
    <row r="21" spans="2:16" ht="14.4" customHeight="1" x14ac:dyDescent="0.3">
      <c r="B21" s="32" t="s">
        <v>46</v>
      </c>
      <c r="C21" s="33"/>
      <c r="D21" s="37" t="s">
        <v>4</v>
      </c>
      <c r="E21" s="38"/>
      <c r="F21" s="33"/>
      <c r="G21" s="37" t="s">
        <v>5</v>
      </c>
      <c r="H21" s="38"/>
      <c r="I21" s="33"/>
      <c r="J21" s="37" t="s">
        <v>70</v>
      </c>
      <c r="K21" s="38"/>
      <c r="L21" s="38"/>
      <c r="M21" s="33"/>
      <c r="N21" s="37" t="s">
        <v>71</v>
      </c>
      <c r="O21" s="33"/>
      <c r="P21" s="22" t="s">
        <v>72</v>
      </c>
    </row>
    <row r="22" spans="2:16" ht="15.6" customHeight="1" x14ac:dyDescent="0.3">
      <c r="B22" s="61" t="s">
        <v>83</v>
      </c>
      <c r="C22" s="33"/>
      <c r="D22" s="62" t="s">
        <v>10</v>
      </c>
      <c r="E22" s="38"/>
      <c r="F22" s="33"/>
      <c r="G22" s="62" t="s">
        <v>6</v>
      </c>
      <c r="H22" s="38"/>
      <c r="I22" s="33"/>
      <c r="J22" s="62" t="s">
        <v>22</v>
      </c>
      <c r="K22" s="33"/>
      <c r="L22" s="62" t="s">
        <v>20</v>
      </c>
      <c r="M22" s="33"/>
      <c r="N22" s="46" t="s">
        <v>84</v>
      </c>
      <c r="O22" s="47"/>
      <c r="P22" s="21" t="s">
        <v>27</v>
      </c>
    </row>
    <row r="23" spans="2:16" ht="15" customHeight="1" thickBot="1" x14ac:dyDescent="0.35">
      <c r="B23" s="39" t="s">
        <v>74</v>
      </c>
      <c r="C23" s="40"/>
      <c r="D23" s="41" t="s">
        <v>61</v>
      </c>
      <c r="E23" s="42"/>
      <c r="F23" s="40"/>
      <c r="G23" s="41" t="s">
        <v>52</v>
      </c>
      <c r="H23" s="42"/>
      <c r="I23" s="40"/>
      <c r="J23" s="48" t="s">
        <v>55</v>
      </c>
      <c r="K23" s="49"/>
      <c r="L23" s="49"/>
      <c r="M23" s="50" t="s">
        <v>75</v>
      </c>
      <c r="N23" s="51"/>
      <c r="O23" s="51"/>
      <c r="P23" s="52"/>
    </row>
    <row r="24" spans="2:16" ht="16.2" thickBot="1" x14ac:dyDescent="0.35">
      <c r="B24" s="56" t="s">
        <v>12</v>
      </c>
      <c r="C24" s="57"/>
      <c r="D24" s="58" t="s">
        <v>10</v>
      </c>
      <c r="E24" s="59"/>
      <c r="F24" s="57"/>
      <c r="G24" s="60" t="s">
        <v>85</v>
      </c>
      <c r="H24" s="59"/>
      <c r="I24" s="57"/>
      <c r="J24" s="58" t="s">
        <v>86</v>
      </c>
      <c r="K24" s="59"/>
      <c r="L24" s="57"/>
      <c r="M24" s="53"/>
      <c r="N24" s="54"/>
      <c r="O24" s="54"/>
      <c r="P24" s="55"/>
    </row>
    <row r="27" spans="2:16" ht="21" x14ac:dyDescent="0.3">
      <c r="B27" s="34" t="s">
        <v>87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</row>
    <row r="28" spans="2:16" ht="14.4" customHeight="1" x14ac:dyDescent="0.3">
      <c r="B28" s="32" t="s">
        <v>46</v>
      </c>
      <c r="C28" s="33"/>
      <c r="D28" s="37" t="s">
        <v>4</v>
      </c>
      <c r="E28" s="38"/>
      <c r="F28" s="33"/>
      <c r="G28" s="37" t="s">
        <v>5</v>
      </c>
      <c r="H28" s="38"/>
      <c r="I28" s="33"/>
      <c r="J28" s="37" t="s">
        <v>70</v>
      </c>
      <c r="K28" s="38"/>
      <c r="L28" s="38"/>
      <c r="M28" s="33"/>
      <c r="N28" s="37" t="s">
        <v>71</v>
      </c>
      <c r="O28" s="33"/>
      <c r="P28" s="22" t="s">
        <v>72</v>
      </c>
    </row>
    <row r="29" spans="2:16" ht="15.6" customHeight="1" x14ac:dyDescent="0.3">
      <c r="B29" s="61" t="s">
        <v>88</v>
      </c>
      <c r="C29" s="33"/>
      <c r="D29" s="62" t="s">
        <v>7</v>
      </c>
      <c r="E29" s="38"/>
      <c r="F29" s="33"/>
      <c r="G29" s="62" t="s">
        <v>20</v>
      </c>
      <c r="H29" s="38"/>
      <c r="I29" s="33"/>
      <c r="J29" s="62" t="s">
        <v>30</v>
      </c>
      <c r="K29" s="33"/>
      <c r="L29" s="62" t="s">
        <v>17</v>
      </c>
      <c r="M29" s="33"/>
      <c r="N29" s="46" t="s">
        <v>29</v>
      </c>
      <c r="O29" s="47"/>
      <c r="P29" s="21" t="s">
        <v>16</v>
      </c>
    </row>
    <row r="30" spans="2:16" ht="15" customHeight="1" thickBot="1" x14ac:dyDescent="0.35">
      <c r="B30" s="39" t="s">
        <v>74</v>
      </c>
      <c r="C30" s="40"/>
      <c r="D30" s="41" t="s">
        <v>61</v>
      </c>
      <c r="E30" s="42"/>
      <c r="F30" s="40"/>
      <c r="G30" s="41" t="s">
        <v>52</v>
      </c>
      <c r="H30" s="42"/>
      <c r="I30" s="40"/>
      <c r="J30" s="48" t="s">
        <v>55</v>
      </c>
      <c r="K30" s="49"/>
      <c r="L30" s="49"/>
      <c r="M30" s="50" t="s">
        <v>75</v>
      </c>
      <c r="N30" s="51"/>
      <c r="O30" s="51"/>
      <c r="P30" s="52"/>
    </row>
    <row r="31" spans="2:16" ht="16.2" thickBot="1" x14ac:dyDescent="0.35">
      <c r="B31" s="56" t="s">
        <v>12</v>
      </c>
      <c r="C31" s="57"/>
      <c r="D31" s="58" t="s">
        <v>89</v>
      </c>
      <c r="E31" s="59"/>
      <c r="F31" s="57"/>
      <c r="G31" s="60" t="s">
        <v>90</v>
      </c>
      <c r="H31" s="59"/>
      <c r="I31" s="57"/>
      <c r="J31" s="58" t="s">
        <v>91</v>
      </c>
      <c r="K31" s="59"/>
      <c r="L31" s="57"/>
      <c r="M31" s="53"/>
      <c r="N31" s="54"/>
      <c r="O31" s="54"/>
      <c r="P31" s="55"/>
    </row>
  </sheetData>
  <mergeCells count="85">
    <mergeCell ref="N29:O29"/>
    <mergeCell ref="B30:C30"/>
    <mergeCell ref="D30:F30"/>
    <mergeCell ref="G30:I30"/>
    <mergeCell ref="J30:L30"/>
    <mergeCell ref="M30:P31"/>
    <mergeCell ref="B31:C31"/>
    <mergeCell ref="D31:F31"/>
    <mergeCell ref="G31:I31"/>
    <mergeCell ref="J31:L31"/>
    <mergeCell ref="B29:C29"/>
    <mergeCell ref="D29:F29"/>
    <mergeCell ref="G29:I29"/>
    <mergeCell ref="J29:K29"/>
    <mergeCell ref="L29:M29"/>
    <mergeCell ref="N22:O22"/>
    <mergeCell ref="B23:C23"/>
    <mergeCell ref="D23:F23"/>
    <mergeCell ref="G23:I23"/>
    <mergeCell ref="J23:L23"/>
    <mergeCell ref="M23:P24"/>
    <mergeCell ref="B24:C24"/>
    <mergeCell ref="D24:F24"/>
    <mergeCell ref="G24:I24"/>
    <mergeCell ref="J24:L24"/>
    <mergeCell ref="B22:C22"/>
    <mergeCell ref="D22:F22"/>
    <mergeCell ref="G22:I22"/>
    <mergeCell ref="J22:K22"/>
    <mergeCell ref="L22:M22"/>
    <mergeCell ref="B20:P20"/>
    <mergeCell ref="B21:C21"/>
    <mergeCell ref="D21:F21"/>
    <mergeCell ref="G21:I21"/>
    <mergeCell ref="J21:M21"/>
    <mergeCell ref="N21:O21"/>
    <mergeCell ref="N14:O14"/>
    <mergeCell ref="J14:M14"/>
    <mergeCell ref="G14:I14"/>
    <mergeCell ref="D14:F14"/>
    <mergeCell ref="B13:P13"/>
    <mergeCell ref="N15:O15"/>
    <mergeCell ref="B16:C16"/>
    <mergeCell ref="D16:F16"/>
    <mergeCell ref="G16:I16"/>
    <mergeCell ref="J16:L16"/>
    <mergeCell ref="M16:P17"/>
    <mergeCell ref="B17:C17"/>
    <mergeCell ref="D17:F17"/>
    <mergeCell ref="G17:I17"/>
    <mergeCell ref="J17:L17"/>
    <mergeCell ref="B15:C15"/>
    <mergeCell ref="D15:F15"/>
    <mergeCell ref="G15:I15"/>
    <mergeCell ref="J15:K15"/>
    <mergeCell ref="L15:M15"/>
    <mergeCell ref="B8:C8"/>
    <mergeCell ref="D8:F8"/>
    <mergeCell ref="G8:I8"/>
    <mergeCell ref="J8:K8"/>
    <mergeCell ref="L8:M8"/>
    <mergeCell ref="D9:F9"/>
    <mergeCell ref="G9:I9"/>
    <mergeCell ref="J9:L9"/>
    <mergeCell ref="M9:P10"/>
    <mergeCell ref="B10:C10"/>
    <mergeCell ref="D10:F10"/>
    <mergeCell ref="G10:I10"/>
    <mergeCell ref="J10:L10"/>
    <mergeCell ref="B1:H3"/>
    <mergeCell ref="B14:C14"/>
    <mergeCell ref="B28:C28"/>
    <mergeCell ref="B27:P27"/>
    <mergeCell ref="D28:F28"/>
    <mergeCell ref="G28:I28"/>
    <mergeCell ref="J28:M28"/>
    <mergeCell ref="N28:O28"/>
    <mergeCell ref="B7:C7"/>
    <mergeCell ref="D7:F7"/>
    <mergeCell ref="G7:I7"/>
    <mergeCell ref="J7:M7"/>
    <mergeCell ref="N7:O7"/>
    <mergeCell ref="B6:P6"/>
    <mergeCell ref="N8:O8"/>
    <mergeCell ref="B9:C9"/>
  </mergeCells>
  <pageMargins left="0.7" right="0.7" top="0.75" bottom="0.75" header="0.511811023622047" footer="0.511811023622047"/>
  <pageSetup scale="4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0C47-439C-49A8-BD6E-5D2CB1264D57}">
  <sheetPr>
    <tabColor rgb="FF006600"/>
    <pageSetUpPr fitToPage="1"/>
  </sheetPr>
  <dimension ref="A1:P31"/>
  <sheetViews>
    <sheetView showGridLines="0" tabSelected="1" topLeftCell="A2" zoomScaleNormal="100" workbookViewId="0">
      <selection activeCell="B6" sqref="B6:P10"/>
    </sheetView>
  </sheetViews>
  <sheetFormatPr baseColWidth="10" defaultColWidth="9.109375" defaultRowHeight="14.4" x14ac:dyDescent="0.3"/>
  <cols>
    <col min="1" max="1" width="3" style="9" customWidth="1"/>
    <col min="2" max="2" width="14" customWidth="1"/>
    <col min="3" max="3" width="8" customWidth="1"/>
    <col min="4" max="4" width="10.6640625" customWidth="1"/>
    <col min="5" max="5" width="9" customWidth="1"/>
    <col min="6" max="6" width="6.33203125" customWidth="1"/>
    <col min="7" max="7" width="1.44140625" customWidth="1"/>
    <col min="8" max="8" width="10.5546875" customWidth="1"/>
    <col min="9" max="9" width="11.6640625" style="9" customWidth="1"/>
    <col min="10" max="10" width="13.6640625" customWidth="1"/>
    <col min="11" max="11" width="10" customWidth="1"/>
    <col min="12" max="12" width="7.6640625" customWidth="1"/>
    <col min="13" max="13" width="9.21875" customWidth="1"/>
    <col min="16" max="16" width="18.33203125" customWidth="1"/>
    <col min="17" max="17" width="1.77734375" customWidth="1"/>
  </cols>
  <sheetData>
    <row r="1" spans="2:16" ht="23.25" customHeight="1" x14ac:dyDescent="0.3">
      <c r="B1" s="31"/>
      <c r="C1" s="31"/>
      <c r="D1" s="31"/>
      <c r="E1" s="23"/>
      <c r="F1" s="23"/>
      <c r="G1" s="23"/>
      <c r="H1" s="23"/>
    </row>
    <row r="2" spans="2:16" ht="23.25" customHeight="1" x14ac:dyDescent="0.3">
      <c r="B2" s="31"/>
      <c r="C2" s="31"/>
      <c r="D2" s="31"/>
      <c r="E2" s="77" t="s">
        <v>103</v>
      </c>
      <c r="F2" s="77"/>
      <c r="G2" s="77"/>
      <c r="H2" s="77"/>
      <c r="I2" s="77"/>
      <c r="J2" s="77"/>
      <c r="K2" s="77"/>
      <c r="L2" s="77"/>
      <c r="M2" s="77"/>
    </row>
    <row r="3" spans="2:16" ht="23.25" customHeight="1" x14ac:dyDescent="0.3">
      <c r="B3" s="31"/>
      <c r="C3" s="31"/>
      <c r="D3" s="31"/>
      <c r="E3" s="76" t="s">
        <v>104</v>
      </c>
      <c r="F3" s="76"/>
      <c r="G3" s="76"/>
      <c r="H3" s="76"/>
      <c r="I3" s="76"/>
      <c r="J3" s="76"/>
      <c r="K3" s="76"/>
      <c r="L3" s="76"/>
      <c r="M3" s="76"/>
    </row>
    <row r="4" spans="2:16" s="9" customFormat="1" ht="15.6" x14ac:dyDescent="0.3">
      <c r="B4" s="12"/>
      <c r="C4" s="12"/>
      <c r="D4" s="12"/>
      <c r="E4" s="12"/>
      <c r="F4" s="12"/>
      <c r="G4" s="12"/>
      <c r="H4" s="12"/>
    </row>
    <row r="5" spans="2:16" ht="15" thickBot="1" x14ac:dyDescent="0.35"/>
    <row r="6" spans="2:16" ht="16.8" customHeight="1" x14ac:dyDescent="0.3">
      <c r="B6" s="68" t="s">
        <v>99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16" x14ac:dyDescent="0.3">
      <c r="B7" s="39" t="s">
        <v>46</v>
      </c>
      <c r="C7" s="40"/>
      <c r="D7" s="41" t="s">
        <v>4</v>
      </c>
      <c r="E7" s="42"/>
      <c r="F7" s="40"/>
      <c r="G7" s="41" t="s">
        <v>5</v>
      </c>
      <c r="H7" s="42"/>
      <c r="I7" s="40"/>
      <c r="J7" s="41" t="s">
        <v>70</v>
      </c>
      <c r="K7" s="42"/>
      <c r="L7" s="42"/>
      <c r="M7" s="40"/>
      <c r="N7" s="41" t="s">
        <v>71</v>
      </c>
      <c r="O7" s="40"/>
      <c r="P7" s="20" t="s">
        <v>72</v>
      </c>
    </row>
    <row r="8" spans="2:16" ht="15.6" x14ac:dyDescent="0.3">
      <c r="B8" s="61" t="s">
        <v>30</v>
      </c>
      <c r="C8" s="33"/>
      <c r="D8" s="62" t="s">
        <v>7</v>
      </c>
      <c r="E8" s="38"/>
      <c r="F8" s="33"/>
      <c r="G8" s="62" t="s">
        <v>18</v>
      </c>
      <c r="H8" s="38"/>
      <c r="I8" s="33"/>
      <c r="J8" s="62" t="s">
        <v>14</v>
      </c>
      <c r="K8" s="33"/>
      <c r="L8" s="62" t="s">
        <v>15</v>
      </c>
      <c r="M8" s="33"/>
      <c r="N8" s="46" t="s">
        <v>27</v>
      </c>
      <c r="O8" s="47"/>
      <c r="P8" s="21" t="s">
        <v>19</v>
      </c>
    </row>
    <row r="9" spans="2:16" ht="24.6" customHeight="1" thickBot="1" x14ac:dyDescent="0.35">
      <c r="B9" s="39" t="s">
        <v>74</v>
      </c>
      <c r="C9" s="40"/>
      <c r="D9" s="41" t="s">
        <v>61</v>
      </c>
      <c r="E9" s="42"/>
      <c r="F9" s="40"/>
      <c r="G9" s="41" t="s">
        <v>52</v>
      </c>
      <c r="H9" s="42"/>
      <c r="I9" s="40"/>
      <c r="J9" s="48" t="s">
        <v>55</v>
      </c>
      <c r="K9" s="49"/>
      <c r="L9" s="49"/>
      <c r="M9" s="50" t="s">
        <v>75</v>
      </c>
      <c r="N9" s="51"/>
      <c r="O9" s="51"/>
      <c r="P9" s="52"/>
    </row>
    <row r="10" spans="2:16" ht="16.2" thickBot="1" x14ac:dyDescent="0.35">
      <c r="B10" s="63" t="s">
        <v>8</v>
      </c>
      <c r="C10" s="64"/>
      <c r="D10" s="60" t="s">
        <v>24</v>
      </c>
      <c r="E10" s="65"/>
      <c r="F10" s="64"/>
      <c r="G10" s="60" t="s">
        <v>92</v>
      </c>
      <c r="H10" s="65"/>
      <c r="I10" s="64"/>
      <c r="J10" s="60" t="s">
        <v>93</v>
      </c>
      <c r="K10" s="65"/>
      <c r="L10" s="64"/>
      <c r="M10" s="53"/>
      <c r="N10" s="54"/>
      <c r="O10" s="54"/>
      <c r="P10" s="55"/>
    </row>
    <row r="12" spans="2:16" ht="15" thickBot="1" x14ac:dyDescent="0.35"/>
    <row r="13" spans="2:16" ht="21" customHeight="1" x14ac:dyDescent="0.35">
      <c r="B13" s="73" t="s">
        <v>100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5"/>
    </row>
    <row r="14" spans="2:16" x14ac:dyDescent="0.3">
      <c r="B14" s="32" t="s">
        <v>46</v>
      </c>
      <c r="C14" s="33"/>
      <c r="D14" s="37" t="s">
        <v>4</v>
      </c>
      <c r="E14" s="38"/>
      <c r="F14" s="33"/>
      <c r="G14" s="37" t="s">
        <v>5</v>
      </c>
      <c r="H14" s="38"/>
      <c r="I14" s="33"/>
      <c r="J14" s="37" t="s">
        <v>70</v>
      </c>
      <c r="K14" s="38"/>
      <c r="L14" s="38"/>
      <c r="M14" s="33"/>
      <c r="N14" s="37" t="s">
        <v>71</v>
      </c>
      <c r="O14" s="33"/>
      <c r="P14" s="22" t="s">
        <v>72</v>
      </c>
    </row>
    <row r="15" spans="2:16" ht="15.6" x14ac:dyDescent="0.3">
      <c r="B15" s="61" t="s">
        <v>17</v>
      </c>
      <c r="C15" s="33"/>
      <c r="D15" s="62" t="s">
        <v>9</v>
      </c>
      <c r="E15" s="38"/>
      <c r="F15" s="33"/>
      <c r="G15" s="62" t="s">
        <v>8</v>
      </c>
      <c r="H15" s="38"/>
      <c r="I15" s="33"/>
      <c r="J15" s="62" t="s">
        <v>22</v>
      </c>
      <c r="K15" s="33"/>
      <c r="L15" s="62" t="s">
        <v>6</v>
      </c>
      <c r="M15" s="33"/>
      <c r="N15" s="46" t="s">
        <v>28</v>
      </c>
      <c r="O15" s="47"/>
      <c r="P15" s="21" t="s">
        <v>11</v>
      </c>
    </row>
    <row r="16" spans="2:16" ht="25.95" customHeight="1" thickBot="1" x14ac:dyDescent="0.35">
      <c r="B16" s="39" t="s">
        <v>74</v>
      </c>
      <c r="C16" s="40"/>
      <c r="D16" s="41" t="s">
        <v>61</v>
      </c>
      <c r="E16" s="42"/>
      <c r="F16" s="40"/>
      <c r="G16" s="41" t="s">
        <v>52</v>
      </c>
      <c r="H16" s="42"/>
      <c r="I16" s="40"/>
      <c r="J16" s="48" t="s">
        <v>55</v>
      </c>
      <c r="K16" s="49"/>
      <c r="L16" s="49"/>
      <c r="M16" s="50" t="s">
        <v>75</v>
      </c>
      <c r="N16" s="51"/>
      <c r="O16" s="51"/>
      <c r="P16" s="52"/>
    </row>
    <row r="17" spans="2:16" ht="16.2" thickBot="1" x14ac:dyDescent="0.35">
      <c r="B17" s="63" t="s">
        <v>13</v>
      </c>
      <c r="C17" s="64"/>
      <c r="D17" s="60" t="s">
        <v>10</v>
      </c>
      <c r="E17" s="65"/>
      <c r="F17" s="64"/>
      <c r="G17" s="60" t="s">
        <v>94</v>
      </c>
      <c r="H17" s="65"/>
      <c r="I17" s="64"/>
      <c r="J17" s="60" t="s">
        <v>95</v>
      </c>
      <c r="K17" s="65"/>
      <c r="L17" s="64"/>
      <c r="M17" s="53"/>
      <c r="N17" s="54"/>
      <c r="O17" s="54"/>
      <c r="P17" s="55"/>
    </row>
    <row r="19" spans="2:16" ht="15" thickBot="1" x14ac:dyDescent="0.35"/>
    <row r="20" spans="2:16" ht="18" x14ac:dyDescent="0.3">
      <c r="B20" s="68" t="s">
        <v>101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70"/>
    </row>
    <row r="21" spans="2:16" ht="14.4" customHeight="1" x14ac:dyDescent="0.3">
      <c r="B21" s="32" t="s">
        <v>46</v>
      </c>
      <c r="C21" s="33"/>
      <c r="D21" s="37" t="s">
        <v>4</v>
      </c>
      <c r="E21" s="38"/>
      <c r="F21" s="33"/>
      <c r="G21" s="37" t="s">
        <v>5</v>
      </c>
      <c r="H21" s="38"/>
      <c r="I21" s="33"/>
      <c r="J21" s="37" t="s">
        <v>70</v>
      </c>
      <c r="K21" s="38"/>
      <c r="L21" s="38"/>
      <c r="M21" s="33"/>
      <c r="N21" s="37" t="s">
        <v>71</v>
      </c>
      <c r="O21" s="33"/>
      <c r="P21" s="22" t="s">
        <v>72</v>
      </c>
    </row>
    <row r="22" spans="2:16" ht="15.6" customHeight="1" x14ac:dyDescent="0.3">
      <c r="B22" s="61" t="s">
        <v>16</v>
      </c>
      <c r="C22" s="33"/>
      <c r="D22" s="62" t="s">
        <v>38</v>
      </c>
      <c r="E22" s="38"/>
      <c r="F22" s="33"/>
      <c r="G22" s="62" t="s">
        <v>15</v>
      </c>
      <c r="H22" s="38"/>
      <c r="I22" s="33"/>
      <c r="J22" s="62" t="s">
        <v>27</v>
      </c>
      <c r="K22" s="33"/>
      <c r="L22" s="62" t="s">
        <v>18</v>
      </c>
      <c r="M22" s="33"/>
      <c r="N22" s="46" t="s">
        <v>24</v>
      </c>
      <c r="O22" s="47"/>
      <c r="P22" s="21" t="s">
        <v>21</v>
      </c>
    </row>
    <row r="23" spans="2:16" ht="27" customHeight="1" thickBot="1" x14ac:dyDescent="0.35">
      <c r="B23" s="39" t="s">
        <v>74</v>
      </c>
      <c r="C23" s="40"/>
      <c r="D23" s="41" t="s">
        <v>61</v>
      </c>
      <c r="E23" s="42"/>
      <c r="F23" s="40"/>
      <c r="G23" s="41" t="s">
        <v>52</v>
      </c>
      <c r="H23" s="42"/>
      <c r="I23" s="40"/>
      <c r="J23" s="48" t="s">
        <v>55</v>
      </c>
      <c r="K23" s="49"/>
      <c r="L23" s="49"/>
      <c r="M23" s="50" t="s">
        <v>75</v>
      </c>
      <c r="N23" s="51"/>
      <c r="O23" s="51"/>
      <c r="P23" s="52"/>
    </row>
    <row r="24" spans="2:16" ht="16.2" thickBot="1" x14ac:dyDescent="0.35">
      <c r="B24" s="63" t="s">
        <v>14</v>
      </c>
      <c r="C24" s="64"/>
      <c r="D24" s="60" t="s">
        <v>20</v>
      </c>
      <c r="E24" s="65"/>
      <c r="F24" s="64"/>
      <c r="G24" s="60" t="s">
        <v>96</v>
      </c>
      <c r="H24" s="65"/>
      <c r="I24" s="64"/>
      <c r="J24" s="60" t="s">
        <v>97</v>
      </c>
      <c r="K24" s="65"/>
      <c r="L24" s="64"/>
      <c r="M24" s="53"/>
      <c r="N24" s="54"/>
      <c r="O24" s="54"/>
      <c r="P24" s="55"/>
    </row>
    <row r="26" spans="2:16" ht="15" thickBot="1" x14ac:dyDescent="0.35"/>
    <row r="27" spans="2:16" ht="21" customHeight="1" x14ac:dyDescent="0.3">
      <c r="B27" s="68" t="s">
        <v>102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70"/>
    </row>
    <row r="28" spans="2:16" ht="14.4" customHeight="1" x14ac:dyDescent="0.3">
      <c r="B28" s="32" t="s">
        <v>46</v>
      </c>
      <c r="C28" s="33"/>
      <c r="D28" s="37" t="s">
        <v>4</v>
      </c>
      <c r="E28" s="38"/>
      <c r="F28" s="33"/>
      <c r="G28" s="37" t="s">
        <v>5</v>
      </c>
      <c r="H28" s="38"/>
      <c r="I28" s="33"/>
      <c r="J28" s="37" t="s">
        <v>70</v>
      </c>
      <c r="K28" s="38"/>
      <c r="L28" s="38"/>
      <c r="M28" s="33"/>
      <c r="N28" s="37" t="s">
        <v>71</v>
      </c>
      <c r="O28" s="33"/>
      <c r="P28" s="22" t="s">
        <v>72</v>
      </c>
    </row>
    <row r="29" spans="2:16" ht="15.6" customHeight="1" x14ac:dyDescent="0.3">
      <c r="B29" s="61" t="s">
        <v>15</v>
      </c>
      <c r="C29" s="33"/>
      <c r="D29" s="62" t="s">
        <v>14</v>
      </c>
      <c r="E29" s="38"/>
      <c r="F29" s="33"/>
      <c r="G29" s="62" t="s">
        <v>30</v>
      </c>
      <c r="H29" s="38"/>
      <c r="I29" s="33"/>
      <c r="J29" s="62" t="s">
        <v>9</v>
      </c>
      <c r="K29" s="33"/>
      <c r="L29" s="71" t="s">
        <v>7</v>
      </c>
      <c r="M29" s="72"/>
      <c r="N29" s="66" t="s">
        <v>38</v>
      </c>
      <c r="O29" s="67"/>
      <c r="P29" s="24" t="s">
        <v>39</v>
      </c>
    </row>
    <row r="30" spans="2:16" ht="34.200000000000003" customHeight="1" thickBot="1" x14ac:dyDescent="0.35">
      <c r="B30" s="39" t="s">
        <v>74</v>
      </c>
      <c r="C30" s="40"/>
      <c r="D30" s="41" t="s">
        <v>61</v>
      </c>
      <c r="E30" s="42"/>
      <c r="F30" s="40"/>
      <c r="G30" s="41" t="s">
        <v>52</v>
      </c>
      <c r="H30" s="42"/>
      <c r="I30" s="40"/>
      <c r="J30" s="48" t="s">
        <v>55</v>
      </c>
      <c r="K30" s="49"/>
      <c r="L30" s="49"/>
      <c r="M30" s="50" t="s">
        <v>75</v>
      </c>
      <c r="N30" s="51"/>
      <c r="O30" s="51"/>
      <c r="P30" s="52"/>
    </row>
    <row r="31" spans="2:16" ht="16.2" thickBot="1" x14ac:dyDescent="0.35">
      <c r="B31" s="63" t="s">
        <v>29</v>
      </c>
      <c r="C31" s="64"/>
      <c r="D31" s="60" t="s">
        <v>24</v>
      </c>
      <c r="E31" s="65"/>
      <c r="F31" s="64"/>
      <c r="G31" s="60" t="s">
        <v>76</v>
      </c>
      <c r="H31" s="65"/>
      <c r="I31" s="64"/>
      <c r="J31" s="60" t="s">
        <v>77</v>
      </c>
      <c r="K31" s="65"/>
      <c r="L31" s="64"/>
      <c r="M31" s="53"/>
      <c r="N31" s="54"/>
      <c r="O31" s="54"/>
      <c r="P31" s="55"/>
    </row>
  </sheetData>
  <mergeCells count="87">
    <mergeCell ref="G7:I7"/>
    <mergeCell ref="J7:M7"/>
    <mergeCell ref="N7:O7"/>
    <mergeCell ref="B8:C8"/>
    <mergeCell ref="D8:F8"/>
    <mergeCell ref="G8:I8"/>
    <mergeCell ref="J8:K8"/>
    <mergeCell ref="L8:M8"/>
    <mergeCell ref="B1:D3"/>
    <mergeCell ref="E3:M3"/>
    <mergeCell ref="E2:M2"/>
    <mergeCell ref="B9:C9"/>
    <mergeCell ref="D9:F9"/>
    <mergeCell ref="G9:I9"/>
    <mergeCell ref="J9:L9"/>
    <mergeCell ref="M9:P10"/>
    <mergeCell ref="B10:C10"/>
    <mergeCell ref="D10:F10"/>
    <mergeCell ref="G10:I10"/>
    <mergeCell ref="J10:L10"/>
    <mergeCell ref="N8:O8"/>
    <mergeCell ref="B6:P6"/>
    <mergeCell ref="B7:C7"/>
    <mergeCell ref="D7:F7"/>
    <mergeCell ref="N15:O15"/>
    <mergeCell ref="B13:P13"/>
    <mergeCell ref="B14:C14"/>
    <mergeCell ref="D14:F14"/>
    <mergeCell ref="G14:I14"/>
    <mergeCell ref="J14:M14"/>
    <mergeCell ref="N14:O14"/>
    <mergeCell ref="B15:C15"/>
    <mergeCell ref="D15:F15"/>
    <mergeCell ref="G15:I15"/>
    <mergeCell ref="J15:K15"/>
    <mergeCell ref="L15:M15"/>
    <mergeCell ref="B16:C16"/>
    <mergeCell ref="D16:F16"/>
    <mergeCell ref="G16:I16"/>
    <mergeCell ref="J16:L16"/>
    <mergeCell ref="M16:P17"/>
    <mergeCell ref="B17:C17"/>
    <mergeCell ref="D17:F17"/>
    <mergeCell ref="G17:I17"/>
    <mergeCell ref="J17:L17"/>
    <mergeCell ref="N22:O22"/>
    <mergeCell ref="B20:P20"/>
    <mergeCell ref="B21:C21"/>
    <mergeCell ref="D21:F21"/>
    <mergeCell ref="G21:I21"/>
    <mergeCell ref="J21:M21"/>
    <mergeCell ref="N21:O21"/>
    <mergeCell ref="B22:C22"/>
    <mergeCell ref="D22:F22"/>
    <mergeCell ref="G22:I22"/>
    <mergeCell ref="J22:K22"/>
    <mergeCell ref="L22:M22"/>
    <mergeCell ref="B23:C23"/>
    <mergeCell ref="D23:F23"/>
    <mergeCell ref="G23:I23"/>
    <mergeCell ref="J23:L23"/>
    <mergeCell ref="M23:P24"/>
    <mergeCell ref="B24:C24"/>
    <mergeCell ref="D24:F24"/>
    <mergeCell ref="G24:I24"/>
    <mergeCell ref="J24:L24"/>
    <mergeCell ref="N29:O29"/>
    <mergeCell ref="B27:P27"/>
    <mergeCell ref="B28:C28"/>
    <mergeCell ref="D28:F28"/>
    <mergeCell ref="G28:I28"/>
    <mergeCell ref="J28:M28"/>
    <mergeCell ref="N28:O28"/>
    <mergeCell ref="B29:C29"/>
    <mergeCell ref="D29:F29"/>
    <mergeCell ref="G29:I29"/>
    <mergeCell ref="J29:K29"/>
    <mergeCell ref="L29:M29"/>
    <mergeCell ref="B30:C30"/>
    <mergeCell ref="D30:F30"/>
    <mergeCell ref="G30:I30"/>
    <mergeCell ref="J30:L30"/>
    <mergeCell ref="M30:P31"/>
    <mergeCell ref="B31:C31"/>
    <mergeCell ref="D31:F31"/>
    <mergeCell ref="G31:I31"/>
    <mergeCell ref="J31:L31"/>
  </mergeCells>
  <dataValidations count="6">
    <dataValidation type="list" allowBlank="1" showInputMessage="1" showErrorMessage="1" sqref="B8:C8 J8:M8 B15:C15 J15:M15 B22:C22 J22:M22 B29:C29 J29:M29" xr:uid="{C563D48F-6407-4589-BC06-9BF743B28576}">
      <formula1>MICRÓFONOS</formula1>
    </dataValidation>
    <dataValidation type="list" allowBlank="1" showInputMessage="1" showErrorMessage="1" sqref="D8:F8 D15:F15 D22:F22 D29:F29" xr:uid="{58E13462-6A21-46A7-9B56-BB8E1270C3D3}">
      <formula1>AUDIO</formula1>
    </dataValidation>
    <dataValidation type="list" allowBlank="1" showInputMessage="1" showErrorMessage="1" sqref="G8:I8 G15:I15 G22:I22 G29:I29" xr:uid="{078A5257-E771-4997-B21F-0C95EE5D8099}">
      <formula1>VIDEO</formula1>
    </dataValidation>
    <dataValidation type="list" allowBlank="1" showInputMessage="1" showErrorMessage="1" sqref="N8:P8 N15:P15 N22:P22 N29:P29" xr:uid="{72C7A630-5662-4707-BAEF-6571CB13AD41}">
      <formula1>ACOMODADORES</formula1>
    </dataValidation>
    <dataValidation type="list" allowBlank="1" showInputMessage="1" showErrorMessage="1" sqref="B10:C10 B17:C17 B24:C24 B31:C31" xr:uid="{1D88CAE0-6AB0-4193-A5D7-12F42A175D23}">
      <formula1>PRESIDENTES</formula1>
    </dataValidation>
    <dataValidation type="list" allowBlank="1" showInputMessage="1" showErrorMessage="1" sqref="D31:F31 D17:F17 D24:F24 D10:F10" xr:uid="{EA29063D-3D83-4969-A189-C1C99D5D80AB}">
      <formula1>LECTORES_ATALAYA</formula1>
    </dataValidation>
  </dataValidations>
  <pageMargins left="0.7" right="0.7" top="0.75" bottom="0.75" header="0.511811023622047" footer="0.511811023622047"/>
  <pageSetup scale="5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8</vt:i4>
      </vt:variant>
    </vt:vector>
  </HeadingPairs>
  <TitlesOfParts>
    <vt:vector size="14" baseType="lpstr">
      <vt:lpstr>Listados No tocar</vt:lpstr>
      <vt:lpstr>Hoja1</vt:lpstr>
      <vt:lpstr>LISTADO</vt:lpstr>
      <vt:lpstr>septiembre</vt:lpstr>
      <vt:lpstr>Diciembre</vt:lpstr>
      <vt:lpstr>Enero</vt:lpstr>
      <vt:lpstr>ACOMODADORES</vt:lpstr>
      <vt:lpstr>Diciembre!Área_de_impresión</vt:lpstr>
      <vt:lpstr>Hoja1!Área_de_impresión</vt:lpstr>
      <vt:lpstr>AUDIO</vt:lpstr>
      <vt:lpstr>LECTORES_ATALAYA</vt:lpstr>
      <vt:lpstr>MICRÓFONOS</vt:lpstr>
      <vt:lpstr>PRESIDENTES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Leonardo Quintero Castaño</cp:lastModifiedBy>
  <cp:revision>2</cp:revision>
  <cp:lastPrinted>2025-01-03T01:01:47Z</cp:lastPrinted>
  <dcterms:created xsi:type="dcterms:W3CDTF">2015-06-05T18:19:34Z</dcterms:created>
  <dcterms:modified xsi:type="dcterms:W3CDTF">2025-01-11T19:54:54Z</dcterms:modified>
  <cp:category/>
  <cp:contentStatus/>
</cp:coreProperties>
</file>